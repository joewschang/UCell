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d0d122bd0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Register" sheetId="1" r:id="R059e57c291ba4cb4"/>
    <x:sheet xmlns:r="http://schemas.openxmlformats.org/officeDocument/2006/relationships" name="SA_Function_Matrix" sheetId="2" r:id="R40ce65999fb14040"/>
    <x:sheet xmlns:r="http://schemas.openxmlformats.org/officeDocument/2006/relationships" name="Rule_Traceability" sheetId="3" r:id="R921e0d44436e4841"/>
    <x:sheet xmlns:r="http://schemas.openxmlformats.org/officeDocument/2006/relationships" name="AI_Core_Alignment" sheetId="4" r:id="R9988ab1c36984887"/>
    <x:sheet xmlns:r="http://schemas.openxmlformats.org/officeDocument/2006/relationships" name="Release_Gates" sheetId="5" r:id="R9b7cb46db0584178"/>
    <x:sheet xmlns:r="http://schemas.openxmlformats.org/officeDocument/2006/relationships" name="API_Coverage" sheetId="6" r:id="R7f038d707f8b4e8f"/>
    <x:sheet xmlns:r="http://schemas.openxmlformats.org/officeDocument/2006/relationships" name="Data_Model" sheetId="7" r:id="R0d22a1a7104d4fbe"/>
    <x:sheet xmlns:r="http://schemas.openxmlformats.org/officeDocument/2006/relationships" name="UAT_R6" sheetId="8" r:id="R75390149c6bc4012"/>
    <x:sheet xmlns:r="http://schemas.openxmlformats.org/officeDocument/2006/relationships" name="Dashboard" sheetId="9" r:id="R8e162cfe162442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E2A47"/>
      </x:patternFill>
    </x:fill>
    <x:fill>
      <x:patternFill patternType="solid">
        <x:fgColor rgb="FFE8EEF5"/>
      </x:patternFill>
    </x:fill>
    <x:fill>
      <x:patternFill patternType="solid">
        <x:fgColor rgb="FFDFF3E6"/>
      </x:patternFill>
    </x:fill>
    <x:fill>
      <x:patternFill patternType="solid">
        <x:fgColor rgb="FFFAD7D7"/>
      </x:patternFill>
    </x:fill>
    <x:fill>
      <x:patternFill patternType="solid">
        <x:fgColor rgb="FFFFF0C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ill>
        <x:patternFill patternType="solid">
          <x:bgColor rgb="FFDFF3E6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8E2F4"/>
        </x:patternFill>
      </x:fill>
    </x:dxf>
    <x:dxf>
      <x:fill>
        <x:patternFill patternType="solid">
          <x:bgColor rgb="FFFAD7D7"/>
        </x:patternFill>
      </x:fill>
    </x:dxf>
    <x:dxf>
      <x:fill>
        <x:patternFill patternType="solid">
          <x:bgColor rgb="FFDFF3E6"/>
        </x:patternFill>
      </x:fill>
    </x:dxf>
    <x:dxf>
      <x:fill>
        <x:patternFill patternType="solid">
          <x:bgColor rgb="FFFAD7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8E2F4"/>
        </x:patternFill>
      </x:fill>
    </x:dxf>
    <x:dxf>
      <x:fill>
        <x:patternFill patternType="solid">
          <x:bgColor rgb="FFFAD7D7"/>
        </x:patternFill>
      </x:fill>
    </x:dxf>
    <x:dxf>
      <x:fill>
        <x:patternFill patternType="solid">
          <x:bgColor rgb="FFDFF3E6"/>
        </x:patternFill>
      </x:fill>
    </x:dxf>
    <x:dxf>
      <x:fill>
        <x:patternFill patternType="solid">
          <x:bgColor rgb="FFFAD7D7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8E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734ffd3c84f18" /><Relationship Type="http://schemas.openxmlformats.org/officeDocument/2006/relationships/theme" Target="/xl/theme/theme1.xml" Id="Rf78d6be5f1424857" /><Relationship Type="http://schemas.openxmlformats.org/officeDocument/2006/relationships/sharedStrings" Target="/xl/sharedStrings.xml" Id="R1a5264a80e2f4a72" /><Relationship Type="http://schemas.openxmlformats.org/officeDocument/2006/relationships/worksheet" Target="/xl/worksheets/sheet1.xml" Id="R059e57c291ba4cb4" /><Relationship Type="http://schemas.openxmlformats.org/officeDocument/2006/relationships/worksheet" Target="/xl/worksheets/sheet2.xml" Id="R40ce65999fb14040" /><Relationship Type="http://schemas.openxmlformats.org/officeDocument/2006/relationships/worksheet" Target="/xl/worksheets/sheet3.xml" Id="R921e0d44436e4841" /><Relationship Type="http://schemas.openxmlformats.org/officeDocument/2006/relationships/worksheet" Target="/xl/worksheets/sheet4.xml" Id="R9988ab1c36984887" /><Relationship Type="http://schemas.openxmlformats.org/officeDocument/2006/relationships/worksheet" Target="/xl/worksheets/sheet5.xml" Id="R9b7cb46db0584178" /><Relationship Type="http://schemas.openxmlformats.org/officeDocument/2006/relationships/worksheet" Target="/xl/worksheets/sheet6.xml" Id="R7f038d707f8b4e8f" /><Relationship Type="http://schemas.openxmlformats.org/officeDocument/2006/relationships/worksheet" Target="/xl/worksheets/sheet7.xml" Id="R0d22a1a7104d4fbe" /><Relationship Type="http://schemas.openxmlformats.org/officeDocument/2006/relationships/worksheet" Target="/xl/worksheets/sheet8.xml" Id="R75390149c6bc4012" /><Relationship Type="http://schemas.openxmlformats.org/officeDocument/2006/relationships/worksheet" Target="/xl/worksheets/sheet9.xml" Id="R8e162cfe162442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5ddbcfaae449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Release Gate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'Dashboard'!$D$9:$D$13</c:f>
              <c:strCache>
                <c:ptCount val="0"/>
              </c:strCache>
            </c:strRef>
          </c:cat>
          <c:val>
            <c:numRef>
              <c:f>'Dashboard'!$E$9:$E$13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5ddbcfaae449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FunctionMatrix" displayName="SAFunctionMatrix" ref="A1:L37" headerRowCount="1" totalsRowCount="0" totalsRowShown="0">
  <x:tableColumns count="12">
    <x:tableColumn id="1" name="SA ID"/>
    <x:tableColumn id="2" name="Domain"/>
    <x:tableColumn id="3" name="SA/制度需求"/>
    <x:tableColumn id="4" name="系統功能"/>
    <x:tableColumn id="5" name="Admin/前台"/>
    <x:tableColumn id="6" name="Backend/API"/>
    <x:tableColumn id="7" name="資料模型"/>
    <x:tableColumn id="8" name="AI/權限邊界"/>
    <x:tableColumn id="9" name="實作狀態"/>
    <x:tableColumn id="10" name="Production Gate"/>
    <x:tableColumn id="11" name="程式/證據"/>
    <x:tableColumn id="12" name="來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leTraceability" displayName="RuleTraceability" ref="A1:H23" headerRowCount="1" totalsRowCount="0" totalsRowShown="0">
  <x:tableColumns count="8">
    <x:tableColumn id="1" name="Rule ID"/>
    <x:tableColumn id="2" name="規則"/>
    <x:tableColumn id="3" name="SSOT期望"/>
    <x:tableColumn id="4" name="值/路由"/>
    <x:tableColumn id="5" name="程式/參數證據"/>
    <x:tableColumn id="6" name="測試/UAT"/>
    <x:tableColumn id="7" name="狀態"/>
    <x:tableColumn id="8" name="來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Gates" displayName="ReleaseGates" ref="A1:E21" headerRowCount="1" totalsRowCount="0" totalsRowShown="0">
  <x:tableColumns count="5">
    <x:tableColumn id="1" name="Gate"/>
    <x:tableColumn id="2" name="目前狀態"/>
    <x:tableColumn id="3" name="Production必須"/>
    <x:tableColumn id="4" name="證據"/>
    <x:tableColumn id="5" name="下一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ATR6" displayName="UATR6" ref="A1:E31" headerRowCount="1" totalsRowCount="0" totalsRowShown="0">
  <x:tableColumns count="5">
    <x:tableColumn id="1" name="id"/>
    <x:tableColumn id="2" name="priority"/>
    <x:tableColumn id="3" name="area"/>
    <x:tableColumn id="4" name="scenario"/>
    <x:tableColumn id="5" name="expec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fcd0c0148d4f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22bc2743774f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11da2fd26942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b732c36d3aa646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f4da049bdc0b481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12" hidden="0" customWidth="1"/>
    <x:col min="5" max="5" width="14" hidden="0" customWidth="1"/>
    <x:col min="6" max="6" width="42" hidden="0" customWidth="1"/>
    <x:col min="7" max="7" width="58" hidden="0" customWidth="1"/>
  </x:cols>
  <x:sheetData>
    <x:row r="1">
      <x:c r="A1" s="14" t="str">
        <x:v>Source ID</x:v>
      </x:c>
      <x:c r="B1" s="14" t="str">
        <x:v>文件</x:v>
      </x:c>
      <x:c r="C1" s="14" t="str">
        <x:v>用途</x:v>
      </x:c>
      <x:c r="D1" s="14" t="str">
        <x:v>狀態</x:v>
      </x:c>
      <x:c r="E1" s="14" t="str">
        <x:v>封版/日期</x:v>
      </x:c>
      <x:c r="F1" s="14" t="str">
        <x:v>重點</x:v>
      </x:c>
      <x:c r="G1" s="14" t="str">
        <x:v>Source URL</x:v>
      </x:c>
    </x:row>
    <x:row r="2">
      <x:c r="A2" s="15" t="str">
        <x:v>SRC-01</x:v>
      </x:c>
      <x:c r="B2" s="15" t="str">
        <x:v>R1.0B FROZEN SSOT｜文件索引與版本治理</x:v>
      </x:c>
      <x:c r="C2" s="15" t="str">
        <x:v>制度/版本治理</x:v>
      </x:c>
      <x:c r="D2" s="15" t="str">
        <x:v>CURRENT</x:v>
      </x:c>
      <x:c r="E2" s="15" t="str">
        <x:v>2026-09-07</x:v>
      </x:c>
      <x:c r="F2" s="15" t="str">
        <x:v>Backend baseline in source: v0.6.0</x:v>
      </x:c>
      <x:c r="G2" s="15" t="str">
        <x:v>https://docs.google.com/document/d/1mORkYyTB_YZhtS6GQOpQSnV6jpFQT_7a0aVRgRsQ1DA/edit</x:v>
      </x:c>
    </x:row>
    <x:row r="3">
      <x:c r="A3" s="15" t="str">
        <x:v>SRC-02</x:v>
      </x:c>
      <x:c r="B3" s="15" t="str">
        <x:v>UCell_R1_0B_會員制度與獎金計算說明手冊_正式封版</x:v>
      </x:c>
      <x:c r="C3" s="15" t="str">
        <x:v>制度經濟規則</x:v>
      </x:c>
      <x:c r="D3" s="15" t="str">
        <x:v>CURRENT</x:v>
      </x:c>
      <x:c r="E3" s="15" t="str">
        <x:v>2026-09-07</x:v>
      </x:c>
      <x:c r="F3" s="15" t="str">
        <x:v>最高制度說明SSOT</x:v>
      </x:c>
      <x:c r="G3" s="15" t="str">
        <x:v>https://docs.google.com/document/d/10BADME3o5PTq8FQR0qDeBc_AGHQ7oQub/edit</x:v>
      </x:c>
    </x:row>
    <x:row r="4">
      <x:c r="A4" s="15" t="str">
        <x:v>SRC-03</x:v>
      </x:c>
      <x:c r="B4" s="15" t="str">
        <x:v>UCell_R1_0B_Master_System_Specification_正式封版</x:v>
      </x:c>
      <x:c r="C4" s="15" t="str">
        <x:v>Master SA/System Specification</x:v>
      </x:c>
      <x:c r="D4" s="15" t="str">
        <x:v>CURRENT</x:v>
      </x:c>
      <x:c r="E4" s="15" t="str">
        <x:v>2026-09-07</x:v>
      </x:c>
      <x:c r="F4" s="15" t="str">
        <x:v>制度→Domain/API/Admin/Integration最高系統基線</x:v>
      </x:c>
      <x:c r="G4" s="15" t="str">
        <x:v>https://docs.google.com/document/d/13XKmRlxu_SjNVf61Nj_CXaoQIc42JEr5cdM9DbDO0rA/edit</x:v>
      </x:c>
    </x:row>
    <x:row r="5">
      <x:c r="A5" s="15" t="str">
        <x:v>SRC-04</x:v>
      </x:c>
      <x:c r="B5" s="15" t="str">
        <x:v>UCell_R1_0B_MVP_系統規格書_正式封版</x:v>
      </x:c>
      <x:c r="C5" s="15" t="str">
        <x:v>MVP Scope</x:v>
      </x:c>
      <x:c r="D5" s="15" t="str">
        <x:v>CURRENT</x:v>
      </x:c>
      <x:c r="E5" s="15" t="str">
        <x:v>2026-09-07</x:v>
      </x:c>
      <x:c r="F5" s="15" t="str">
        <x:v>Admin先行；LINE/ERP/AI採漸進Adapter</x:v>
      </x:c>
      <x:c r="G5" s="15" t="str">
        <x:v>https://docs.google.com/document/d/1mtw2WmfJG3agaSsePy7CLRoJYXRgoPU_ZDmCMl0sM4w/edit</x:v>
      </x:c>
    </x:row>
    <x:row r="6">
      <x:c r="A6" s="15" t="str">
        <x:v>SRC-05</x:v>
      </x:c>
      <x:c r="B6" s="15" t="str">
        <x:v>UCell_R1_0B_企業領域模型與資料模型_正式封版</x:v>
      </x:c>
      <x:c r="C6" s="15" t="str">
        <x:v>DDD/Data Model</x:v>
      </x:c>
      <x:c r="D6" s="15" t="str">
        <x:v>CURRENT</x:v>
      </x:c>
      <x:c r="E6" s="15" t="str">
        <x:v>2026-09-07</x:v>
      </x:c>
      <x:c r="F6" s="15" t="str">
        <x:v>Person/Qualification、雙樹、Ledger、Integration邊界</x:v>
      </x:c>
      <x:c r="G6" s="15" t="str">
        <x:v>https://docs.google.com/document/d/1GXfQtD-iLMuW8WvahpkMH3fvdcyzJK8uQ0LAZ34wMEs/edit</x:v>
      </x:c>
    </x:row>
    <x:row r="7">
      <x:c r="A7" s="15" t="str">
        <x:v>SRC-06</x:v>
      </x:c>
      <x:c r="B7" s="15" t="str">
        <x:v>UCell_R1_0B_獎金引擎與資料庫規格書_正式封版</x:v>
      </x:c>
      <x:c r="C7" s="15" t="str">
        <x:v>Bonus Engine/DB</x:v>
      </x:c>
      <x:c r="D7" s="15" t="str">
        <x:v>CURRENT</x:v>
      </x:c>
      <x:c r="E7" s="15" t="str">
        <x:v>2026-09-07</x:v>
      </x:c>
      <x:c r="F7" s="15" t="str">
        <x:v>R1.0B參數、K0/K1/K2、Return/Replay、DB invariants</x:v>
      </x:c>
      <x:c r="G7" s="15" t="str">
        <x:v>https://docs.google.com/document/d/1g3UbYikbZNZF-cApyKhx-b0J4fdh8zAX/edit</x:v>
      </x:c>
    </x:row>
    <x:row r="8">
      <x:c r="A8" s="15" t="str">
        <x:v>SRC-07</x:v>
      </x:c>
      <x:c r="B8" s="15" t="str">
        <x:v>UCell_Intelligence_OS_R1_0B_AI邏輯描述語法與技能包_v4.0.0</x:v>
      </x:c>
      <x:c r="C8" s="15" t="str">
        <x:v>AI Core Governance</x:v>
      </x:c>
      <x:c r="D8" s="15" t="str">
        <x:v>CURRENT</x:v>
      </x:c>
      <x:c r="E8" s="15" t="str">
        <x:v>2026-09-07</x:v>
      </x:c>
      <x:c r="F8" s="15" t="str">
        <x:v>AI不得發明制度/修改獎金；Deterministic Core唯一算錢</x:v>
      </x:c>
      <x:c r="G8" s="15" t="str">
        <x:v>https://docs.google.com/document/d/1kDkCVy9U-pYfxM50GYTPuVwI0LtEMSOB/edit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0" hidden="0" customWidth="1"/>
    <x:col min="4" max="4" width="36" hidden="0" customWidth="1"/>
    <x:col min="5" max="5" width="22" hidden="0" customWidth="1"/>
    <x:col min="6" max="6" width="34" hidden="0" customWidth="1"/>
    <x:col min="7" max="7" width="32" hidden="0" customWidth="1"/>
    <x:col min="8" max="8" width="38" hidden="0" customWidth="1"/>
    <x:col min="9" max="9" width="16" hidden="0" customWidth="1"/>
    <x:col min="10" max="10" width="28" hidden="0" customWidth="1"/>
    <x:col min="11" max="11" width="40" hidden="0" customWidth="1"/>
    <x:col min="12" max="12" width="22" hidden="0" customWidth="1"/>
  </x:cols>
  <x:sheetData>
    <x:row r="1">
      <x:c r="A1" s="14" t="str">
        <x:v>SA ID</x:v>
      </x:c>
      <x:c r="B1" s="14" t="str">
        <x:v>Domain</x:v>
      </x:c>
      <x:c r="C1" s="14" t="str">
        <x:v>SA/制度需求</x:v>
      </x:c>
      <x:c r="D1" s="14" t="str">
        <x:v>系統功能</x:v>
      </x:c>
      <x:c r="E1" s="14" t="str">
        <x:v>Admin/前台</x:v>
      </x:c>
      <x:c r="F1" s="14" t="str">
        <x:v>Backend/API</x:v>
      </x:c>
      <x:c r="G1" s="14" t="str">
        <x:v>資料模型</x:v>
      </x:c>
      <x:c r="H1" s="14" t="str">
        <x:v>AI/權限邊界</x:v>
      </x:c>
      <x:c r="I1" s="14" t="str">
        <x:v>實作狀態</x:v>
      </x:c>
      <x:c r="J1" s="14" t="str">
        <x:v>Production Gate</x:v>
      </x:c>
      <x:c r="K1" s="14" t="str">
        <x:v>程式/證據</x:v>
      </x:c>
      <x:c r="L1" s="14" t="str">
        <x:v>來源</x:v>
      </x:c>
    </x:row>
    <x:row r="2">
      <x:c r="A2" s="15" t="str">
        <x:v>SA-001</x:v>
      </x:c>
      <x:c r="B2" s="15" t="str">
        <x:v>Identity/Membership</x:v>
      </x:c>
      <x:c r="C2" s="15" t="str">
        <x:v>Person 與 Qualification 分離；一人可多球</x:v>
      </x:c>
      <x:c r="D2" s="15" t="str">
        <x:v>Person CRUD、Qualification獨立Aggregate</x:v>
      </x:c>
      <x:c r="E2" s="15" t="str">
        <x:v>會員/自然人、會員資格</x:v>
      </x:c>
      <x:c r="F2" s="15" t="str">
        <x:v>/admin/persons；/admin/qualifications</x:v>
      </x:c>
      <x:c r="G2" s="15" t="str">
        <x:v>Person, Qualification, HolderHistory</x:v>
      </x:c>
      <x:c r="H2" s="15" t="str">
        <x:v>AI查詢必須顯式 qualification_id</x:v>
      </x:c>
      <x:c r="I2" s="15" t="str">
        <x:v>Implemented</x:v>
      </x:c>
      <x:c r="J2" s="15" t="str">
        <x:v>Live DB/UAT</x:v>
      </x:c>
      <x:c r="K2" s="15" t="str">
        <x:v>apps/api/src/modules/person; qualification</x:v>
      </x:c>
      <x:c r="L2" s="15" t="str">
        <x:v>SRC-02/SRC-03/SRC-05</x:v>
      </x:c>
    </x:row>
    <x:row r="3">
      <x:c r="A3" s="15" t="str">
        <x:v>SA-002</x:v>
      </x:c>
      <x:c r="B3" s="15" t="str">
        <x:v>Membership</x:v>
      </x:c>
      <x:c r="C3" s="15" t="str">
        <x:v>會員申請 Draft→Submit→Approve→Qualification Effective</x:v>
      </x:c>
      <x:c r="D3" s="15" t="str">
        <x:v>Application Queue/Wizard/Approval</x:v>
      </x:c>
      <x:c r="E3" s="15" t="str">
        <x:v>會員申請待審</x:v>
      </x:c>
      <x:c r="F3" s="15" t="str">
        <x:v>/admin/membership-applications</x:v>
      </x:c>
      <x:c r="G3" s="15" t="str">
        <x:v>MembershipApplication, Qualification</x:v>
      </x:c>
      <x:c r="H3" s="15" t="str">
        <x:v>AI不得替代核准</x:v>
      </x:c>
      <x:c r="I3" s="15" t="str">
        <x:v>Implemented</x:v>
      </x:c>
      <x:c r="J3" s="15" t="str">
        <x:v>Live UAT</x:v>
      </x:c>
      <x:c r="K3" s="15" t="str">
        <x:v>application module + Admin v0.6</x:v>
      </x:c>
      <x:c r="L3" s="15" t="str">
        <x:v>SRC-03/SRC-04</x:v>
      </x:c>
    </x:row>
    <x:row r="4">
      <x:c r="A4" s="15" t="str">
        <x:v>SA-003</x:v>
      </x:c>
      <x:c r="B4" s="15" t="str">
        <x:v>Organization</x:v>
      </x:c>
      <x:c r="C4" s="15" t="str">
        <x:v>Sponsor Tree 與 Binary Tree 分離</x:v>
      </x:c>
      <x:c r="D4" s="15" t="str">
        <x:v>雙樹獨立建模/查詢/歷史有效期</x:v>
      </x:c>
      <x:c r="E4" s="15" t="str">
        <x:v>組織視圖</x:v>
      </x:c>
      <x:c r="F4" s="15" t="str">
        <x:v>/admin/observability/organization/*</x:v>
      </x:c>
      <x:c r="G4" s="15" t="str">
        <x:v>SponsorRelationship, BinaryPlacement</x:v>
      </x:c>
      <x:c r="H4" s="15" t="str">
        <x:v>AI可診斷，不得改樹</x:v>
      </x:c>
      <x:c r="I4" s="15" t="str">
        <x:v>Implemented</x:v>
      </x:c>
      <x:c r="J4" s="15" t="str">
        <x:v>DB/UAT</x:v>
      </x:c>
      <x:c r="K4" s="15" t="str">
        <x:v>organization + observability</x:v>
      </x:c>
      <x:c r="L4" s="15" t="str">
        <x:v>SRC-02/SRC-03/SRC-05</x:v>
      </x:c>
    </x:row>
    <x:row r="5">
      <x:c r="A5" s="15" t="str">
        <x:v>SA-004</x:v>
      </x:c>
      <x:c r="B5" s="15" t="str">
        <x:v>Organization</x:v>
      </x:c>
      <x:c r="C5" s="15" t="str">
        <x:v>第1與第3直推須在推薦者Binary左子樹</x:v>
      </x:c>
      <x:c r="D5" s="15" t="str">
        <x:v>安置Preview＋Backend最終Guard</x:v>
      </x:c>
      <x:c r="E5" s="15" t="str">
        <x:v>Application Wizard</x:v>
      </x:c>
      <x:c r="F5" s="15" t="str">
        <x:v>/admin/organization/placement-preview</x:v>
      </x:c>
      <x:c r="G5" s="15" t="str">
        <x:v>SponsorSequence/BinaryPlacement</x:v>
      </x:c>
      <x:c r="H5" s="15" t="str">
        <x:v>AI不得繞過</x:v>
      </x:c>
      <x:c r="I5" s="15" t="str">
        <x:v>Implemented</x:v>
      </x:c>
      <x:c r="J5" s="15" t="str">
        <x:v>P0 UAT + DB trigger</x:v>
      </x:c>
      <x:c r="K5" s="15" t="str">
        <x:v>organization.service + golden/UAT</x:v>
      </x:c>
      <x:c r="L5" s="15" t="str">
        <x:v>SRC-02/SRC-07</x:v>
      </x:c>
    </x:row>
    <x:row r="6">
      <x:c r="A6" s="15" t="str">
        <x:v>SA-005</x:v>
      </x:c>
      <x:c r="B6" s="15" t="str">
        <x:v>Active</x:v>
      </x:c>
      <x:c r="C6" s="15" t="str">
        <x:v>所有獎金 Active First、事件時點Temporal</x:v>
      </x:c>
      <x:c r="D6" s="15" t="str">
        <x:v>ActivePeriod + event-time eligibility</x:v>
      </x:c>
      <x:c r="E6" s="15" t="str">
        <x:v>Qualification/獎金營運</x:v>
      </x:c>
      <x:c r="F6" s="15" t="str">
        <x:v>/admin/qualifications/:id/active</x:v>
      </x:c>
      <x:c r="G6" s="15" t="str">
        <x:v>ActivePeriod, StatusHistory</x:v>
      </x:c>
      <x:c r="H6" s="15" t="str">
        <x:v>AI不得繞過Active Gate</x:v>
      </x:c>
      <x:c r="I6" s="15" t="str">
        <x:v>Implemented</x:v>
      </x:c>
      <x:c r="J6" s="15" t="str">
        <x:v>Golden + live UAT</x:v>
      </x:c>
      <x:c r="K6" s="15" t="str">
        <x:v>active module + bonus services</x:v>
      </x:c>
      <x:c r="L6" s="15" t="str">
        <x:v>SRC-02/SRC-05/SRC-07</x:v>
      </x:c>
    </x:row>
    <x:row r="7">
      <x:c r="A7" s="15" t="str">
        <x:v>SA-006</x:v>
      </x:c>
      <x:c r="B7" s="15" t="str">
        <x:v>Commerce Bridge</x:v>
      </x:c>
      <x:c r="C7" s="15" t="str">
        <x:v>MVP手動Order/Payment；未來ERP Adapter</x:v>
      </x:c>
      <x:c r="D7" s="15" t="str">
        <x:v>Order/Payment/Return bridge</x:v>
      </x:c>
      <x:c r="E7" s="15" t="str">
        <x:v>訂單與收款</x:v>
      </x:c>
      <x:c r="F7" s="15" t="str">
        <x:v>/admin/orders</x:v>
      </x:c>
      <x:c r="G7" s="15" t="str">
        <x:v>Order, OrderLine, PaymentEvent</x:v>
      </x:c>
      <x:c r="H7" s="15" t="str">
        <x:v>AI只查詢/解釋</x:v>
      </x:c>
      <x:c r="I7" s="15" t="str">
        <x:v>Implemented</x:v>
      </x:c>
      <x:c r="J7" s="15" t="str">
        <x:v>Live DB/UAT</x:v>
      </x:c>
      <x:c r="K7" s="15" t="str">
        <x:v>order module</x:v>
      </x:c>
      <x:c r="L7" s="15" t="str">
        <x:v>SRC-03/SRC-04</x:v>
      </x:c>
    </x:row>
    <x:row r="8">
      <x:c r="A8" s="15" t="str">
        <x:v>SA-007</x:v>
      </x:c>
      <x:c r="B8" s="15" t="str">
        <x:v>Product</x:v>
      </x:c>
      <x:c r="C8" s="15" t="str">
        <x:v>MVP只保留制度需要的Product Reference/Rule Profile</x:v>
      </x:c>
      <x:c r="D8" s="15" t="str">
        <x:v>Product reference與GPV快照</x:v>
      </x:c>
      <x:c r="E8" s="15" t="str">
        <x:v>商品參照</x:v>
      </x:c>
      <x:c r="F8" s="15" t="str">
        <x:v>/admin/products</x:v>
      </x:c>
      <x:c r="G8" s="15" t="str">
        <x:v>ProductReference, RuleProfile</x:v>
      </x:c>
      <x:c r="H8" s="15" t="str">
        <x:v>未來D365 Product Master</x:v>
      </x:c>
      <x:c r="I8" s="15" t="str">
        <x:v>Implemented</x:v>
      </x:c>
      <x:c r="J8" s="15" t="str">
        <x:v>Live DB/UAT</x:v>
      </x:c>
      <x:c r="K8" s="15" t="str">
        <x:v>product module</x:v>
      </x:c>
      <x:c r="L8" s="15" t="str">
        <x:v>SRC-04/SRC-05</x:v>
      </x:c>
    </x:row>
    <x:row r="9">
      <x:c r="A9" s="15" t="str">
        <x:v>SA-008</x:v>
      </x:c>
      <x:c r="B9" s="15" t="str">
        <x:v>Ledger</x:v>
      </x:c>
      <x:c r="C9" s="15" t="str">
        <x:v>Payment Confirmed 後產生GPV；不可變帳本</x:v>
      </x:c>
      <x:c r="D9" s="15" t="str">
        <x:v>Outbox→Worker→PvLedger</x:v>
      </x:c>
      <x:c r="E9" s="15" t="str">
        <x:v>Qualification/PV</x:v>
      </x:c>
      <x:c r="F9" s="15" t="str">
        <x:v>worker SALE_CONFIRMED</x:v>
      </x:c>
      <x:c r="G9" s="15" t="str">
        <x:v>PvLedger, OutboxEvent</x:v>
      </x:c>
      <x:c r="H9" s="15" t="str">
        <x:v>AI不得直寫Ledger</x:v>
      </x:c>
      <x:c r="I9" s="15" t="str">
        <x:v>Implemented</x:v>
      </x:c>
      <x:c r="J9" s="15" t="str">
        <x:v>Worker live UAT</x:v>
      </x:c>
      <x:c r="K9" s="15" t="str">
        <x:v>apps/worker/src/main.ts</x:v>
      </x:c>
      <x:c r="L9" s="15" t="str">
        <x:v>SRC-03/SRC-05/SRC-06</x:v>
      </x:c>
    </x:row>
    <x:row r="10">
      <x:c r="A10" s="15" t="str">
        <x:v>SA-009</x:v>
      </x:c>
      <x:c r="B10" s="15" t="str">
        <x:v>Referral</x:v>
      </x:c>
      <x:c r="C10" s="15" t="str">
        <x:v>G1 15/20/25%，Sponsor Tree，Active First</x:v>
      </x:c>
      <x:c r="D10" s="15" t="str">
        <x:v>Referral theory + award</x:v>
      </x:c>
      <x:c r="E10" s="15" t="str">
        <x:v>獎金營運</x:v>
      </x:c>
      <x:c r="F10" s="15" t="str">
        <x:v>bonus engine</x:v>
      </x:c>
      <x:c r="G10" s="15" t="str">
        <x:v>BonusAward</x:v>
      </x:c>
      <x:c r="H10" s="15" t="str">
        <x:v>AI僅Explain</x:v>
      </x:c>
      <x:c r="I10" s="15" t="str">
        <x:v>Implemented</x:v>
      </x:c>
      <x:c r="J10" s="15" t="str">
        <x:v>DB Golden/E2E</x:v>
      </x:c>
      <x:c r="K10" s="15" t="str">
        <x:v>runtime params + bonus</x:v>
      </x:c>
      <x:c r="L10" s="15" t="str">
        <x:v>SRC-02/SRC-06/SRC-07</x:v>
      </x:c>
    </x:row>
    <x:row r="11">
      <x:c r="A11" s="15" t="str">
        <x:v>SA-010</x:v>
      </x:c>
      <x:c r="B11" s="15" t="str">
        <x:v>Equalization</x:v>
      </x:c>
      <x:c r="C11" s="15" t="str">
        <x:v>Equalization以同來源G1 Theory為基礎；Leader G5=10%</x:v>
      </x:c>
      <x:c r="D11" s="15" t="str">
        <x:v>G2-G7矩陣+有效直推解鎖</x:v>
      </x:c>
      <x:c r="E11" s="15" t="str">
        <x:v>獎金營運</x:v>
      </x:c>
      <x:c r="F11" s="15" t="str">
        <x:v>bonus engine</x:v>
      </x:c>
      <x:c r="G11" s="15" t="str">
        <x:v>BonusAward</x:v>
      </x:c>
      <x:c r="H11" s="15" t="str">
        <x:v>AI僅Explain</x:v>
      </x:c>
      <x:c r="I11" s="15" t="str">
        <x:v>Implemented</x:v>
      </x:c>
      <x:c r="J11" s="15" t="str">
        <x:v>Golden case</x:v>
      </x:c>
      <x:c r="K11" s="15" t="str">
        <x:v>0003 migration + golden scripts</x:v>
      </x:c>
      <x:c r="L11" s="15" t="str">
        <x:v>SRC-02/SRC-06/SRC-07</x:v>
      </x:c>
    </x:row>
    <x:row r="12">
      <x:c r="A12" s="15" t="str">
        <x:v>SA-011</x:v>
      </x:c>
      <x:c r="B12" s="15" t="str">
        <x:v>Settlement K0</x:v>
      </x:c>
      <x:c r="C12" s="15" t="str">
        <x:v>Referral Pool 42%；K0=min(1,pool/theory)</x:v>
      </x:c>
      <x:c r="D12" s="15" t="str">
        <x:v>K0 Settlement</x:v>
      </x:c>
      <x:c r="E12" s="15" t="str">
        <x:v>獎金營運</x:v>
      </x:c>
      <x:c r="F12" s="15" t="str">
        <x:v>settlement APIs</x:v>
      </x:c>
      <x:c r="G12" s="15" t="str">
        <x:v>SettlementBatch</x:v>
      </x:c>
      <x:c r="H12" s="15" t="str">
        <x:v>AI不得估算K0</x:v>
      </x:c>
      <x:c r="I12" s="15" t="str">
        <x:v>Implemented</x:v>
      </x:c>
      <x:c r="J12" s="15" t="str">
        <x:v>DB Golden</x:v>
      </x:c>
      <x:c r="K12" s="15" t="str">
        <x:v>runtime params + settlement</x:v>
      </x:c>
      <x:c r="L12" s="15" t="str">
        <x:v>SRC-02/SRC-06</x:v>
      </x:c>
    </x:row>
    <x:row r="13">
      <x:c r="A13" s="15" t="str">
        <x:v>SA-012</x:v>
      </x:c>
      <x:c r="B13" s="15" t="str">
        <x:v>Binary</x:v>
      </x:c>
      <x:c r="C13" s="15" t="str">
        <x:v>Pair=min(L,R,cap)；12%；強區Carry</x:v>
      </x:c>
      <x:c r="D13" s="15" t="str">
        <x:v>Binary settlement/carry</x:v>
      </x:c>
      <x:c r="E13" s="15" t="str">
        <x:v>獎金營運</x:v>
      </x:c>
      <x:c r="F13" s="15" t="str">
        <x:v>binary settlement</x:v>
      </x:c>
      <x:c r="G13" s="15" t="str">
        <x:v>BinaryCarry, BonusAward</x:v>
      </x:c>
      <x:c r="H13" s="15" t="str">
        <x:v>AI可Stress，不得算可支付</x:v>
      </x:c>
      <x:c r="I13" s="15" t="str">
        <x:v>Implemented</x:v>
      </x:c>
      <x:c r="J13" s="15" t="str">
        <x:v>Replay/Golden/UAT</x:v>
      </x:c>
      <x:c r="K13" s="15" t="str">
        <x:v>bonus + carry/replay</x:v>
      </x:c>
      <x:c r="L13" s="15" t="str">
        <x:v>SRC-02/SRC-06/SRC-07</x:v>
      </x:c>
    </x:row>
    <x:row r="14">
      <x:c r="A14" s="15" t="str">
        <x:v>SA-013</x:v>
      </x:c>
      <x:c r="B14" s="15" t="str">
        <x:v>Binary Cap</x:v>
      </x:c>
      <x:c r="C14" s="15" t="str">
        <x:v>週封頂 Paired PV 450k/900k/1.5m</x:v>
      </x:c>
      <x:c r="D14" s="15" t="str">
        <x:v>Plan-based cap from parameter</x:v>
      </x:c>
      <x:c r="E14" s="15" t="str">
        <x:v>獎金營運</x:v>
      </x:c>
      <x:c r="F14" s="15" t="str">
        <x:v>runtime rules</x:v>
      </x:c>
      <x:c r="G14" s="15" t="str">
        <x:v>RuntimeRuleParameter</x:v>
      </x:c>
      <x:c r="H14" s="15" t="str">
        <x:v>AI只讀參數</x:v>
      </x:c>
      <x:c r="I14" s="15" t="str">
        <x:v>Implemented</x:v>
      </x:c>
      <x:c r="J14" s="15" t="str">
        <x:v>Golden</x:v>
      </x:c>
      <x:c r="K14" s="15" t="str">
        <x:v>0003 migration</x:v>
      </x:c>
      <x:c r="L14" s="15" t="str">
        <x:v>SRC-02/SRC-06</x:v>
      </x:c>
    </x:row>
    <x:row r="15">
      <x:c r="A15" s="15" t="str">
        <x:v>SA-014</x:v>
      </x:c>
      <x:c r="B15" s="15" t="str">
        <x:v>Settlement K1</x:v>
      </x:c>
      <x:c r="C15" s="15" t="str">
        <x:v>Binary Pool 36%；K1=min(1,pool/theory)</x:v>
      </x:c>
      <x:c r="D15" s="15" t="str">
        <x:v>K1 Settlement</x:v>
      </x:c>
      <x:c r="E15" s="15" t="str">
        <x:v>獎金營運</x:v>
      </x:c>
      <x:c r="F15" s="15" t="str">
        <x:v>settlement APIs</x:v>
      </x:c>
      <x:c r="G15" s="15" t="str">
        <x:v>SettlementBatch</x:v>
      </x:c>
      <x:c r="H15" s="15" t="str">
        <x:v>AI不得估算</x:v>
      </x:c>
      <x:c r="I15" s="15" t="str">
        <x:v>Implemented</x:v>
      </x:c>
      <x:c r="J15" s="15" t="str">
        <x:v>DB Golden</x:v>
      </x:c>
      <x:c r="K15" s="15" t="str">
        <x:v>settlement module</x:v>
      </x:c>
      <x:c r="L15" s="15" t="str">
        <x:v>SRC-02/SRC-06</x:v>
      </x:c>
    </x:row>
    <x:row r="16">
      <x:c r="A16" s="15" t="str">
        <x:v>SA-015</x:v>
      </x:c>
      <x:c r="B16" s="15" t="str">
        <x:v>Matching</x:v>
      </x:c>
      <x:c r="C16" s="15" t="str">
        <x:v>來源為K1後Binary Paid；Sponsor Tree；15/10/5/5/5</x:v>
      </x:c>
      <x:c r="D16" s="15" t="str">
        <x:v>Matching theory/award</x:v>
      </x:c>
      <x:c r="E16" s="15" t="str">
        <x:v>獎金營運</x:v>
      </x:c>
      <x:c r="F16" s="15" t="str">
        <x:v>bonus engine</x:v>
      </x:c>
      <x:c r="G16" s="15" t="str">
        <x:v>BonusAward sourceAward</x:v>
      </x:c>
      <x:c r="H16" s="15" t="str">
        <x:v>AI僅Explain</x:v>
      </x:c>
      <x:c r="I16" s="15" t="str">
        <x:v>Implemented</x:v>
      </x:c>
      <x:c r="J16" s="15" t="str">
        <x:v>Golden</x:v>
      </x:c>
      <x:c r="K16" s="15" t="str">
        <x:v>bonus engine/replay</x:v>
      </x:c>
      <x:c r="L16" s="15" t="str">
        <x:v>SRC-02/SRC-06/SRC-07</x:v>
      </x:c>
    </x:row>
    <x:row r="17">
      <x:c r="A17" s="15" t="str">
        <x:v>SA-016</x:v>
      </x:c>
      <x:c r="B17" s="15" t="str">
        <x:v>Settlement K2</x:v>
      </x:c>
      <x:c r="C17" s="15" t="str">
        <x:v>Matching Pool 15%；K2=min(1,pool/theory)</x:v>
      </x:c>
      <x:c r="D17" s="15" t="str">
        <x:v>K2 Settlement</x:v>
      </x:c>
      <x:c r="E17" s="15" t="str">
        <x:v>獎金營運</x:v>
      </x:c>
      <x:c r="F17" s="15" t="str">
        <x:v>settlement APIs</x:v>
      </x:c>
      <x:c r="G17" s="15" t="str">
        <x:v>SettlementBatch</x:v>
      </x:c>
      <x:c r="H17" s="15" t="str">
        <x:v>AI不得估算</x:v>
      </x:c>
      <x:c r="I17" s="15" t="str">
        <x:v>Implemented</x:v>
      </x:c>
      <x:c r="J17" s="15" t="str">
        <x:v>DB Golden</x:v>
      </x:c>
      <x:c r="K17" s="15" t="str">
        <x:v>settlement module</x:v>
      </x:c>
      <x:c r="L17" s="15" t="str">
        <x:v>SRC-02/SRC-06</x:v>
      </x:c>
    </x:row>
    <x:row r="18">
      <x:c r="A18" s="15" t="str">
        <x:v>SA-017</x:v>
      </x:c>
      <x:c r="B18" s="15" t="str">
        <x:v>Subscription</x:v>
      </x:c>
      <x:c r="C18" s="15" t="str">
        <x:v>季/半年/年 6000/12000/24000，3/6/12逐月Recognition</x:v>
      </x:c>
      <x:c r="D18" s="15" t="str">
        <x:v>Subscription schedule</x:v>
      </x:c>
      <x:c r="E18" s="15" t="str">
        <x:v>重銷方案</x:v>
      </x:c>
      <x:c r="F18" s="15" t="str">
        <x:v>/admin/subscriptions</x:v>
      </x:c>
      <x:c r="G18" s="15" t="str">
        <x:v>Subscription, MonthlyRecognitionSchedule</x:v>
      </x:c>
      <x:c r="H18" s="15" t="str">
        <x:v>AI可提醒，不可改認列</x:v>
      </x:c>
      <x:c r="I18" s="15" t="str">
        <x:v>Implemented</x:v>
      </x:c>
      <x:c r="J18" s="15" t="str">
        <x:v>Worker/UAT</x:v>
      </x:c>
      <x:c r="K18" s="15" t="str">
        <x:v>subscription module + worker</x:v>
      </x:c>
      <x:c r="L18" s="15" t="str">
        <x:v>SRC-02/SRC-04/SRC-06</x:v>
      </x:c>
    </x:row>
    <x:row r="19">
      <x:c r="A19" s="15" t="str">
        <x:v>SA-018</x:v>
      </x:c>
      <x:c r="B19" s="15" t="str">
        <x:v>RPV</x:v>
      </x:c>
      <x:c r="C19" s="15" t="str">
        <x:v>每月1200 RPV；Binary向上；0/1/2+ 解鎖5/8/12代，每代100</x:v>
      </x:c>
      <x:c r="D19" s="15" t="str">
        <x:v>RPV routing/award</x:v>
      </x:c>
      <x:c r="E19" s="15" t="str">
        <x:v>重銷/獎金</x:v>
      </x:c>
      <x:c r="F19" s="15" t="str">
        <x:v>/admin/rpv</x:v>
      </x:c>
      <x:c r="G19" s="15" t="str">
        <x:v>PvLedger/RpvUplineAwardEvent</x:v>
      </x:c>
      <x:c r="H19" s="15" t="str">
        <x:v>AI不得混用Matching解鎖</x:v>
      </x:c>
      <x:c r="I19" s="15" t="str">
        <x:v>Implemented</x:v>
      </x:c>
      <x:c r="J19" s="15" t="str">
        <x:v>Golden/UAT</x:v>
      </x:c>
      <x:c r="K19" s="15" t="str">
        <x:v>worker + migrations</x:v>
      </x:c>
      <x:c r="L19" s="15" t="str">
        <x:v>SRC-02/SRC-06/SRC-07</x:v>
      </x:c>
    </x:row>
    <x:row r="20">
      <x:c r="A20" s="15" t="str">
        <x:v>SA-019</x:v>
      </x:c>
      <x:c r="B20" s="15" t="str">
        <x:v>EPV</x:v>
      </x:c>
      <x:c r="C20" s="15" t="str">
        <x:v>REPURCHASE超2,000部分×60%；Self50%；Sponsor G1-G5各6%</x:v>
      </x:c>
      <x:c r="D20" s="15" t="str">
        <x:v>EPV recognition/award</x:v>
      </x:c>
      <x:c r="E20" s="15" t="str">
        <x:v>獎金營運</x:v>
      </x:c>
      <x:c r="F20" s="15" t="str">
        <x:v>/admin/epv</x:v>
      </x:c>
      <x:c r="G20" s="15" t="str">
        <x:v>PvLedger/BonusAward</x:v>
      </x:c>
      <x:c r="H20" s="15" t="str">
        <x:v>AI不得改路由</x:v>
      </x:c>
      <x:c r="I20" s="15" t="str">
        <x:v>Implemented</x:v>
      </x:c>
      <x:c r="J20" s="15" t="str">
        <x:v>Golden/UAT</x:v>
      </x:c>
      <x:c r="K20" s="15" t="str">
        <x:v>epv module</x:v>
      </x:c>
      <x:c r="L20" s="15" t="str">
        <x:v>SRC-02/SRC-06/SRC-07</x:v>
      </x:c>
    </x:row>
    <x:row r="21">
      <x:c r="A21" s="15" t="str">
        <x:v>SA-020</x:v>
      </x:c>
      <x:c r="B21" s="15" t="str">
        <x:v>Global</x:v>
      </x:c>
      <x:c r="C21" s="15" t="str">
        <x:v>GPV×5%；聘階歷史+Active+弱區門檻；無人遞延</x:v>
      </x:c>
      <x:c r="D21" s="15" t="str">
        <x:v>Global monthly settlement</x:v>
      </x:c>
      <x:c r="E21" s="15" t="str">
        <x:v>獎金營運</x:v>
      </x:c>
      <x:c r="F21" s="15" t="str">
        <x:v>/admin/pools/global/settle</x:v>
      </x:c>
      <x:c r="G21" s="15" t="str">
        <x:v>GlobalPoolSettlement/Award</x:v>
      </x:c>
      <x:c r="H21" s="15" t="str">
        <x:v>AI可監測，不可分配超規則</x:v>
      </x:c>
      <x:c r="I21" s="15" t="str">
        <x:v>Implemented</x:v>
      </x:c>
      <x:c r="J21" s="15" t="str">
        <x:v>DB/UAT</x:v>
      </x:c>
      <x:c r="K21" s="15" t="str">
        <x:v>global-pool.service</x:v>
      </x:c>
      <x:c r="L21" s="15" t="str">
        <x:v>SRC-02/SRC-06/SRC-07</x:v>
      </x:c>
    </x:row>
    <x:row r="22">
      <x:c r="A22" s="15" t="str">
        <x:v>SA-021</x:v>
      </x:c>
      <x:c r="B22" s="15" t="str">
        <x:v>Welfare</x:v>
      </x:c>
      <x:c r="C22" s="15" t="str">
        <x:v>GPV×2%，目前僅Accrual，不分配會員</x:v>
      </x:c>
      <x:c r="D22" s="15" t="str">
        <x:v>Welfare accrual</x:v>
      </x:c>
      <x:c r="E22" s="15" t="str">
        <x:v>獎金營運</x:v>
      </x:c>
      <x:c r="F22" s="15" t="str">
        <x:v>/admin/pools/welfare/accrue</x:v>
      </x:c>
      <x:c r="G22" s="15" t="str">
        <x:v>WelfarePoolAccrual</x:v>
      </x:c>
      <x:c r="H22" s="15" t="str">
        <x:v>AI明確禁止自行分配</x:v>
      </x:c>
      <x:c r="I22" s="15" t="str">
        <x:v>Implemented</x:v>
      </x:c>
      <x:c r="J22" s="15" t="str">
        <x:v>DB/UAT</x:v>
      </x:c>
      <x:c r="K22" s="15" t="str">
        <x:v>global-pool.service</x:v>
      </x:c>
      <x:c r="L22" s="15" t="str">
        <x:v>SRC-02/SRC-06/SRC-07</x:v>
      </x:c>
    </x:row>
    <x:row r="23">
      <x:c r="A23" s="15" t="str">
        <x:v>SA-022</x:v>
      </x:c>
      <x:c r="B23" s="15" t="str">
        <x:v>Award Lifecycle</x:v>
      </x:c>
      <x:c r="C23" s="15" t="str">
        <x:v>CALCULATED→PENDING_45D→EFFECTIVE→PAYABLE→PAID</x:v>
      </x:c>
      <x:c r="D23" s="15" t="str">
        <x:v>45D lifecycle</x:v>
      </x:c>
      <x:c r="E23" s="15" t="str">
        <x:v>獎金/付款</x:v>
      </x:c>
      <x:c r="F23" s="15" t="str">
        <x:v>worker + payout</x:v>
      </x:c>
      <x:c r="G23" s="15" t="str">
        <x:v>BonusAwardLifecycleEvent, PayableEntry</x:v>
      </x:c>
      <x:c r="H23" s="15" t="str">
        <x:v>AI不得直接改狀態</x:v>
      </x:c>
      <x:c r="I23" s="15" t="str">
        <x:v>Implemented</x:v>
      </x:c>
      <x:c r="J23" s="15" t="str">
        <x:v>Time/UAT</x:v>
      </x:c>
      <x:c r="K23" s="15" t="str">
        <x:v>worker + payout</x:v>
      </x:c>
      <x:c r="L23" s="15" t="str">
        <x:v>SRC-02/SRC-03/SRC-07</x:v>
      </x:c>
    </x:row>
    <x:row r="24">
      <x:c r="A24" s="15" t="str">
        <x:v>SA-023</x:v>
      </x:c>
      <x:c r="B24" s="15" t="str">
        <x:v>Return</x:v>
      </x:c>
      <x:c r="C24" s="15" t="str">
        <x:v>退貨不刪原帳；Reversal/Clawback/Recovery</x:v>
      </x:c>
      <x:c r="D24" s="15" t="str">
        <x:v>Return Queue/Reversal</x:v>
      </x:c>
      <x:c r="E24" s="15" t="str">
        <x:v>退貨頁</x:v>
      </x:c>
      <x:c r="F24" s="15" t="str">
        <x:v>/admin/orders/:orderId/returns</x:v>
      </x:c>
      <x:c r="G24" s="15" t="str">
        <x:v>ReturnCase, PvLedger, Recovery</x:v>
      </x:c>
      <x:c r="H24" s="15" t="str">
        <x:v>AI不得核准退貨</x:v>
      </x:c>
      <x:c r="I24" s="15" t="str">
        <x:v>Implemented</x:v>
      </x:c>
      <x:c r="J24" s="15" t="str">
        <x:v>P0 UAT</x:v>
      </x:c>
      <x:c r="K24" s="15" t="str">
        <x:v>return + reversal</x:v>
      </x:c>
      <x:c r="L24" s="15" t="str">
        <x:v>SRC-02/SRC-06/SRC-07</x:v>
      </x:c>
    </x:row>
    <x:row r="25">
      <x:c r="A25" s="15" t="str">
        <x:v>SA-024</x:v>
      </x:c>
      <x:c r="B25" s="15" t="str">
        <x:v>Replay</x:v>
      </x:c>
      <x:c r="C25" s="15" t="str">
        <x:v>Binary/Matching退貨需 deterministic replay + Adjustment Delta</x:v>
      </x:c>
      <x:c r="D25" s="15" t="str">
        <x:v>Carry-chain replay</x:v>
      </x:c>
      <x:c r="E25" s="15" t="str">
        <x:v>退貨頁</x:v>
      </x:c>
      <x:c r="F25" s="15" t="str">
        <x:v>/admin/replays</x:v>
      </x:c>
      <x:c r="G25" s="15" t="str">
        <x:v>SettlementReplay*, Adjustment*</x:v>
      </x:c>
      <x:c r="H25" s="15" t="str">
        <x:v>AI可模擬但不可寫Production</x:v>
      </x:c>
      <x:c r="I25" s="15" t="str">
        <x:v>Implemented</x:v>
      </x:c>
      <x:c r="J25" s="15" t="str">
        <x:v>Replay UAT</x:v>
      </x:c>
      <x:c r="K25" s="15" t="str">
        <x:v>adjustment/carry-chain-replay</x:v>
      </x:c>
      <x:c r="L25" s="15" t="str">
        <x:v>SRC-02/SRC-06/SRC-07</x:v>
      </x:c>
    </x:row>
    <x:row r="26">
      <x:c r="A26" s="15" t="str">
        <x:v>SA-025</x:v>
      </x:c>
      <x:c r="B26" s="15" t="str">
        <x:v>Workflow</x:v>
      </x:c>
      <x:c r="C26" s="15" t="str">
        <x:v>Upgrade/Transfer/Exit/Company Retransfer；審核費600</x:v>
      </x:c>
      <x:c r="D26" s="15" t="str">
        <x:v>Qualification Workflow</x:v>
      </x:c>
      <x:c r="E26" s="15" t="str">
        <x:v>升級/轉讓/退出</x:v>
      </x:c>
      <x:c r="F26" s="15" t="str">
        <x:v>/admin/qualification-workflows</x:v>
      </x:c>
      <x:c r="G26" s="15" t="str">
        <x:v>QualificationWorkflow, histories</x:v>
      </x:c>
      <x:c r="H26" s="15" t="str">
        <x:v>AI不得改Holder/核准</x:v>
      </x:c>
      <x:c r="I26" s="15" t="str">
        <x:v>Implemented</x:v>
      </x:c>
      <x:c r="J26" s="15" t="str">
        <x:v>P0 UAT</x:v>
      </x:c>
      <x:c r="K26" s="15" t="str">
        <x:v>qualification-workflow</x:v>
      </x:c>
      <x:c r="L26" s="15" t="str">
        <x:v>SRC-02/SRC-06</x:v>
      </x:c>
    </x:row>
    <x:row r="27">
      <x:c r="A27" s="15" t="str">
        <x:v>SA-026</x:v>
      </x:c>
      <x:c r="B27" s="15" t="str">
        <x:v>Payout</x:v>
      </x:c>
      <x:c r="C27" s="15" t="str">
        <x:v>Qualification-first Payable/Recovery offset/Batch</x:v>
      </x:c>
      <x:c r="D27" s="15" t="str">
        <x:v>Payout materialize/batch</x:v>
      </x:c>
      <x:c r="E27" s="15" t="str">
        <x:v>結算/付款</x:v>
      </x:c>
      <x:c r="F27" s="15" t="str">
        <x:v>/admin/payouts</x:v>
      </x:c>
      <x:c r="G27" s="15" t="str">
        <x:v>PayableEntry, PayoutBatch/Line</x:v>
      </x:c>
      <x:c r="H27" s="15" t="str">
        <x:v>AI不得付款</x:v>
      </x:c>
      <x:c r="I27" s="15" t="str">
        <x:v>Implemented</x:v>
      </x:c>
      <x:c r="J27" s="15" t="str">
        <x:v>P0 UAT</x:v>
      </x:c>
      <x:c r="K27" s="15" t="str">
        <x:v>payout services</x:v>
      </x:c>
      <x:c r="L27" s="15" t="str">
        <x:v>SRC-03/SRC-06/SRC-07</x:v>
      </x:c>
    </x:row>
    <x:row r="28">
      <x:c r="A28" s="15" t="str">
        <x:v>SA-027</x:v>
      </x:c>
      <x:c r="B28" s="15" t="str">
        <x:v>Payout Control</x:v>
      </x:c>
      <x:c r="C28" s="15" t="str">
        <x:v>Finance+Compliance不同Actor雙核准→Export→外部付款對帳</x:v>
      </x:c>
      <x:c r="D28" s="15" t="str">
        <x:v>Dual approval/reconciliation</x:v>
      </x:c>
      <x:c r="E28" s="15" t="str">
        <x:v>結算/付款</x:v>
      </x:c>
      <x:c r="F28" s="15" t="str">
        <x:v>/admin/operations/payout-batches/*</x:v>
      </x:c>
      <x:c r="G28" s="15" t="str">
        <x:v>PayoutApproval, PayoutBatch</x:v>
      </x:c>
      <x:c r="H28" s="15" t="str">
        <x:v>AI不得核准/付款</x:v>
      </x:c>
      <x:c r="I28" s="15" t="str">
        <x:v>Implemented</x:v>
      </x:c>
      <x:c r="J28" s="15" t="str">
        <x:v>Security/UAT</x:v>
      </x:c>
      <x:c r="K28" s="15" t="str">
        <x:v>admin-operations R4+</x:v>
      </x:c>
      <x:c r="L28" s="15" t="str">
        <x:v>SRC-03/SRC-07</x:v>
      </x:c>
    </x:row>
    <x:row r="29">
      <x:c r="A29" s="15" t="str">
        <x:v>SA-028</x:v>
      </x:c>
      <x:c r="B29" s="15" t="str">
        <x:v>Audit</x:v>
      </x:c>
      <x:c r="C29" s="15" t="str">
        <x:v>誰/何時/對何物；Request/Correlation；Before/After</x:v>
      </x:c>
      <x:c r="D29" s="15" t="str">
        <x:v>Audit Viewer</x:v>
      </x:c>
      <x:c r="E29" s="15" t="str">
        <x:v>稽核紀錄</x:v>
      </x:c>
      <x:c r="F29" s="15" t="str">
        <x:v>/admin/ops-ready/audit-events</x:v>
      </x:c>
      <x:c r="G29" s="15" t="str">
        <x:v>AuditEvent</x:v>
      </x:c>
      <x:c r="H29" s="15" t="str">
        <x:v>AI Skill也需同等Trace</x:v>
      </x:c>
      <x:c r="I29" s="15" t="str">
        <x:v>Implemented</x:v>
      </x:c>
      <x:c r="J29" s="15" t="str">
        <x:v>Live UAT</x:v>
      </x:c>
      <x:c r="K29" s="15" t="str">
        <x:v>audit + ops-ready</x:v>
      </x:c>
      <x:c r="L29" s="15" t="str">
        <x:v>SRC-03/SRC-05/SRC-07</x:v>
      </x:c>
    </x:row>
    <x:row r="30">
      <x:c r="A30" s="15" t="str">
        <x:v>SA-029</x:v>
      </x:c>
      <x:c r="B30" s="15" t="str">
        <x:v>Documents</x:v>
      </x:c>
      <x:c r="C30" s="15" t="str">
        <x:v>文件Metadata/SHA256/version/supersede；不刪除</x:v>
      </x:c>
      <x:c r="D30" s="15" t="str">
        <x:v>Attachment governance</x:v>
      </x:c>
      <x:c r="E30" s="15" t="str">
        <x:v>文件/附件</x:v>
      </x:c>
      <x:c r="F30" s="15" t="str">
        <x:v>/admin/ops-ready/attachments</x:v>
      </x:c>
      <x:c r="G30" s="15" t="str">
        <x:v>DocumentAttachment</x:v>
      </x:c>
      <x:c r="H30" s="15" t="str">
        <x:v>AI只可讀授權文件</x:v>
      </x:c>
      <x:c r="I30" s="15" t="str">
        <x:v>Implemented</x:v>
      </x:c>
      <x:c r="J30" s="15" t="str">
        <x:v>UAT</x:v>
      </x:c>
      <x:c r="K30" s="15" t="str">
        <x:v>R5 ops-ready</x:v>
      </x:c>
      <x:c r="L30" s="15" t="str">
        <x:v>SRC-03/SRC-04</x:v>
      </x:c>
    </x:row>
    <x:row r="31">
      <x:c r="A31" s="15" t="str">
        <x:v>SA-030</x:v>
      </x:c>
      <x:c r="B31" s="15" t="str">
        <x:v>Security</x:v>
      </x:c>
      <x:c r="C31" s="15" t="str">
        <x:v>Microsoft Entra驗證+AdminAccessGrant+短效Session</x:v>
      </x:c>
      <x:c r="D31" s="15" t="str">
        <x:v>Admin production auth</x:v>
      </x:c>
      <x:c r="E31" s="15" t="str">
        <x:v>Login</x:v>
      </x:c>
      <x:c r="F31" s="15" t="str">
        <x:v>/auth/admin/entra/exchange</x:v>
      </x:c>
      <x:c r="G31" s="15" t="str">
        <x:v>IdentityLink, AuthSession, AdminAccessGrant</x:v>
      </x:c>
      <x:c r="H31" s="15" t="str">
        <x:v>AI Agents同樣需授權</x:v>
      </x:c>
      <x:c r="I31" s="15" t="str">
        <x:v>Implemented</x:v>
      </x:c>
      <x:c r="J31" s="15" t="str">
        <x:v>LIVE BLOCKED</x:v>
      </x:c>
      <x:c r="K31" s="15" t="str">
        <x:v>R6 auth</x:v>
      </x:c>
      <x:c r="L31" s="15" t="str">
        <x:v>SRC-03/SRC-05</x:v>
      </x:c>
    </x:row>
    <x:row r="32">
      <x:c r="A32" s="15" t="str">
        <x:v>SA-031</x:v>
      </x:c>
      <x:c r="B32" s="15" t="str">
        <x:v>RBAC</x:v>
      </x:c>
      <x:c r="C32" s="15" t="str">
        <x:v>/admin/* Authentication + fail-closed Role policy</x:v>
      </x:c>
      <x:c r="D32" s="15" t="str">
        <x:v>Global guards</x:v>
      </x:c>
      <x:c r="E32" s="15" t="str">
        <x:v>Role-aware UI</x:v>
      </x:c>
      <x:c r="F32" s="15" t="str">
        <x:v>AdminAuthenticationGuard/AdminRoleGuard</x:v>
      </x:c>
      <x:c r="G32" s="15" t="str">
        <x:v>AdminAccessGrant</x:v>
      </x:c>
      <x:c r="H32" s="15" t="str">
        <x:v>AI需RBAC/ABAC</x:v>
      </x:c>
      <x:c r="I32" s="15" t="str">
        <x:v>Implemented</x:v>
      </x:c>
      <x:c r="J32" s="15" t="str">
        <x:v>Security E2E BLOCKED</x:v>
      </x:c>
      <x:c r="K32" s="15" t="str">
        <x:v>R6 guards</x:v>
      </x:c>
      <x:c r="L32" s="15" t="str">
        <x:v>SRC-03/SRC-07</x:v>
      </x:c>
    </x:row>
    <x:row r="33">
      <x:c r="A33" s="15" t="str">
        <x:v>SA-032</x:v>
      </x:c>
      <x:c r="B33" s="15" t="str">
        <x:v>Reporting</x:v>
      </x:c>
      <x:c r="C33" s="15" t="str">
        <x:v>營運報表/Integrity Alerts/CSV</x:v>
      </x:c>
      <x:c r="D33" s="15" t="str">
        <x:v>Read models and alerts</x:v>
      </x:c>
      <x:c r="E33" s="15" t="str">
        <x:v>報表/完整性</x:v>
      </x:c>
      <x:c r="F33" s="15" t="str">
        <x:v>/admin/ops-ready/*</x:v>
      </x:c>
      <x:c r="G33" s="15" t="str">
        <x:v>Aggregates/read models</x:v>
      </x:c>
      <x:c r="H33" s="15" t="str">
        <x:v>AI可做診斷但不可Auto-fix</x:v>
      </x:c>
      <x:c r="I33" s="15" t="str">
        <x:v>Implemented</x:v>
      </x:c>
      <x:c r="J33" s="15" t="str">
        <x:v>Live UAT</x:v>
      </x:c>
      <x:c r="K33" s="15" t="str">
        <x:v>R5 ops-ready</x:v>
      </x:c>
      <x:c r="L33" s="15" t="str">
        <x:v>SRC-03/SRC-04</x:v>
      </x:c>
    </x:row>
    <x:row r="34">
      <x:c r="A34" s="15" t="str">
        <x:v>SA-033</x:v>
      </x:c>
      <x:c r="B34" s="15" t="str">
        <x:v>LINE OA</x:v>
      </x:c>
      <x:c r="C34" s="15" t="str">
        <x:v>分享帶推薦碼、Member Center、LIFF/LINE Login</x:v>
      </x:c>
      <x:c r="D34" s="15" t="str">
        <x:v>Phase 2 Frontend Adapter</x:v>
      </x:c>
      <x:c r="E34" s="15" t="str">
        <x:v>尚未</x:v>
      </x:c>
      <x:c r="F34" s="15" t="str">
        <x:v>未實作</x:v>
      </x:c>
      <x:c r="G34" s="15" t="str">
        <x:v>Integration boundary</x:v>
      </x:c>
      <x:c r="H34" s="15" t="str">
        <x:v>AI可在會員視圖內輔助</x:v>
      </x:c>
      <x:c r="I34" s="15" t="str">
        <x:v>Deferred</x:v>
      </x:c>
      <x:c r="J34" s="15" t="str">
        <x:v>After Core RC</x:v>
      </x:c>
      <x:c r="K34" s="15" t="str">
        <x:v>MVP spec phase 2</x:v>
      </x:c>
      <x:c r="L34" s="15" t="str">
        <x:v>SRC-04/SRC-05</x:v>
      </x:c>
    </x:row>
    <x:row r="35">
      <x:c r="A35" s="15" t="str">
        <x:v>SA-034</x:v>
      </x:c>
      <x:c r="B35" s="15" t="str">
        <x:v>ERP/D365 BC</x:v>
      </x:c>
      <x:c r="C35" s="15" t="str">
        <x:v>ERP負責商品主檔/庫存/會計/發票；Core負責制度</x:v>
      </x:c>
      <x:c r="D35" s="15" t="str">
        <x:v>D365 Adapter</x:v>
      </x:c>
      <x:c r="E35" s="15" t="str">
        <x:v>尚未</x:v>
      </x:c>
      <x:c r="F35" s="15" t="str">
        <x:v>未實作</x:v>
      </x:c>
      <x:c r="G35" s="15" t="str">
        <x:v>External refs/Inbox future</x:v>
      </x:c>
      <x:c r="H35" s="15" t="str">
        <x:v>AI不得繞過ERP/Core邊界</x:v>
      </x:c>
      <x:c r="I35" s="15" t="str">
        <x:v>Deferred</x:v>
      </x:c>
      <x:c r="J35" s="15" t="str">
        <x:v>Post-MVP</x:v>
      </x:c>
      <x:c r="K35" s="15" t="str">
        <x:v>MVP/Master spec</x:v>
      </x:c>
      <x:c r="L35" s="15" t="str">
        <x:v>SRC-03/SRC-04/SRC-05</x:v>
      </x:c>
    </x:row>
    <x:row r="36">
      <x:c r="A36" s="15" t="str">
        <x:v>SA-035</x:v>
      </x:c>
      <x:c r="B36" s="15" t="str">
        <x:v>AI Core</x:v>
      </x:c>
      <x:c r="C36" s="15" t="str">
        <x:v>Deterministic Core唯一計算；AI解釋/診斷/模擬/NBA/Compliance</x:v>
      </x:c>
      <x:c r="D36" s="15" t="str">
        <x:v>Intelligence OS Skill architecture</x:v>
      </x:c>
      <x:c r="E36" s="15" t="str">
        <x:v>尚未提供AI runtime UI</x:v>
      </x:c>
      <x:c r="F36" s="15" t="str">
        <x:v>未實作AI runtime</x:v>
      </x:c>
      <x:c r="G36" s="15" t="str">
        <x:v>Skill audit future</x:v>
      </x:c>
      <x:c r="H36" s="15" t="str">
        <x:v>禁止AI發規則/改Award/付款</x:v>
      </x:c>
      <x:c r="I36" s="15" t="str">
        <x:v>Deferred</x:v>
      </x:c>
      <x:c r="J36" s="15" t="str">
        <x:v>Separate AI gate</x:v>
      </x:c>
      <x:c r="K36" s="15" t="str">
        <x:v>AI spec; current R6 has no money-writing AI</x:v>
      </x:c>
      <x:c r="L36" s="15" t="str">
        <x:v>SRC-04/SRC-07</x:v>
      </x:c>
    </x:row>
    <x:row r="37">
      <x:c r="A37" s="15" t="str">
        <x:v>SA-036</x:v>
      </x:c>
      <x:c r="B37" s="15" t="str">
        <x:v>Deployment</x:v>
      </x:c>
      <x:c r="C37" s="15" t="str">
        <x:v>Migration/backup/restore/health/release gates</x:v>
      </x:c>
      <x:c r="D37" s="15" t="str">
        <x:v>Production RC deployment scaffold</x:v>
      </x:c>
      <x:c r="E37" s="15" t="str">
        <x:v>N/A</x:v>
      </x:c>
      <x:c r="F37" s="15" t="str">
        <x:v>release-prep/CI</x:v>
      </x:c>
      <x:c r="G37" s="15" t="str">
        <x:v>Migration 0001-0016</x:v>
      </x:c>
      <x:c r="H37" s="15" t="str">
        <x:v>AI不影響部署Gate</x:v>
      </x:c>
      <x:c r="I37" s="15" t="str">
        <x:v>Partial</x:v>
      </x:c>
      <x:c r="J37" s="15" t="str">
        <x:v>LOCKFILE/DB/UAT BLOCKED</x:v>
      </x:c>
      <x:c r="K37" s="15" t="str">
        <x:v>deployment + release scripts</x:v>
      </x:c>
      <x:c r="L37" s="15" t="str">
        <x:v>SRC-03/SRC-04/SRC-06</x:v>
      </x:c>
    </x:row>
  </x:sheetData>
  <x:conditionalFormatting sqref="I2:I37">
    <x:cfRule type="expression" dxfId="0" priority="1">
      <x:formula>I2="Implemented"</x:formula>
    </x:cfRule>
    <x:cfRule type="expression" dxfId="1" priority="2">
      <x:formula>I2="Partial"</x:formula>
    </x:cfRule>
    <x:cfRule type="expression" dxfId="2" priority="3">
      <x:formula>I2="Deferred"</x:formula>
    </x:cfRule>
    <x:cfRule type="expression" dxfId="3" priority="4">
      <x:formula>I2="Blocked"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fcd0c0148d4f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24" hidden="0" customWidth="1"/>
    <x:col min="5" max="5" width="38" hidden="0" customWidth="1"/>
    <x:col min="6" max="6" width="28" hidden="0" customWidth="1"/>
    <x:col min="7" max="7" width="16" hidden="0" customWidth="1"/>
    <x:col min="8" max="8" width="22" hidden="0" customWidth="1"/>
  </x:cols>
  <x:sheetData>
    <x:row r="1">
      <x:c r="A1" s="14" t="str">
        <x:v>Rule ID</x:v>
      </x:c>
      <x:c r="B1" s="14" t="str">
        <x:v>規則</x:v>
      </x:c>
      <x:c r="C1" s="14" t="str">
        <x:v>SSOT期望</x:v>
      </x:c>
      <x:c r="D1" s="14" t="str">
        <x:v>值/路由</x:v>
      </x:c>
      <x:c r="E1" s="14" t="str">
        <x:v>程式/參數證據</x:v>
      </x:c>
      <x:c r="F1" s="14" t="str">
        <x:v>測試/UAT</x:v>
      </x:c>
      <x:c r="G1" s="14" t="str">
        <x:v>狀態</x:v>
      </x:c>
      <x:c r="H1" s="14" t="str">
        <x:v>來源</x:v>
      </x:c>
    </x:row>
    <x:row r="2">
      <x:c r="A2" s="15" t="str">
        <x:v>R10B-001</x:v>
      </x:c>
      <x:c r="B2" s="15" t="str">
        <x:v>Rule Version</x:v>
      </x:c>
      <x:c r="C2" s="15" t="str">
        <x:v>R1.0B為唯一Production Rule；API version分離</x:v>
      </x:c>
      <x:c r="D2" s="15" t="str">
        <x:v>R1.0B</x:v>
      </x:c>
      <x:c r="E2" s="15" t="str">
        <x:v>RuntimeRuleParameter + manifest</x:v>
      </x:c>
      <x:c r="F2" s="15" t="str">
        <x:v>golden-r1b-regression</x:v>
      </x:c>
      <x:c r="G2" s="15" t="str">
        <x:v>Implemented</x:v>
      </x:c>
      <x:c r="H2" s="15" t="str">
        <x:v>SRC-01/SRC-02/SRC-06</x:v>
      </x:c>
    </x:row>
    <x:row r="3">
      <x:c r="A3" s="15" t="str">
        <x:v>R10B-002</x:v>
      </x:c>
      <x:c r="B3" s="15" t="str">
        <x:v>Person/Qualification</x:v>
      </x:c>
      <x:c r="C3" s="15" t="str">
        <x:v>Person != Qualification；多球獨立</x:v>
      </x:c>
      <x:c r="D3" s="15" t="str">
        <x:v>Independent aggregate</x:v>
      </x:c>
      <x:c r="E3" s="15" t="str">
        <x:v>schema.prisma Person/Qualification</x:v>
      </x:c>
      <x:c r="F3" s="15" t="str">
        <x:v>UAT-R6-001/007</x:v>
      </x:c>
      <x:c r="G3" s="15" t="str">
        <x:v>Implemented</x:v>
      </x:c>
      <x:c r="H3" s="15" t="str">
        <x:v>SRC-02/SRC-05</x:v>
      </x:c>
    </x:row>
    <x:row r="4">
      <x:c r="A4" s="15" t="str">
        <x:v>R10B-003</x:v>
      </x:c>
      <x:c r="B4" s="15" t="str">
        <x:v>Sponsor/Binary</x:v>
      </x:c>
      <x:c r="C4" s="15" t="str">
        <x:v>兩棵樹獨立</x:v>
      </x:c>
      <x:c r="D4" s="15" t="str">
        <x:v>Separate temporal relations</x:v>
      </x:c>
      <x:c r="E4" s="15" t="str">
        <x:v>organization module/schema</x:v>
      </x:c>
      <x:c r="F4" s="15" t="str">
        <x:v>UAT-R6-002/003/030</x:v>
      </x:c>
      <x:c r="G4" s="15" t="str">
        <x:v>Implemented</x:v>
      </x:c>
      <x:c r="H4" s="15" t="str">
        <x:v>SRC-02/SRC-05</x:v>
      </x:c>
    </x:row>
    <x:row r="5">
      <x:c r="A5" s="15" t="str">
        <x:v>R10B-004</x:v>
      </x:c>
      <x:c r="B5" s="15" t="str">
        <x:v>Direct placement</x:v>
      </x:c>
      <x:c r="C5" s="15" t="str">
        <x:v>第1與第3直推左子樹</x:v>
      </x:c>
      <x:c r="D5" s="15" t="str">
        <x:v>Mandatory</x:v>
      </x:c>
      <x:c r="E5" s="15" t="str">
        <x:v>organization.service</x:v>
      </x:c>
      <x:c r="F5" s="15" t="str">
        <x:v>UAT-R6-002/003</x:v>
      </x:c>
      <x:c r="G5" s="15" t="str">
        <x:v>Implemented</x:v>
      </x:c>
      <x:c r="H5" s="15" t="str">
        <x:v>SRC-02/SRC-07</x:v>
      </x:c>
    </x:row>
    <x:row r="6">
      <x:c r="A6" s="15" t="str">
        <x:v>R10B-005</x:v>
      </x:c>
      <x:c r="B6" s="15" t="str">
        <x:v>Active First</x:v>
      </x:c>
      <x:c r="C6" s="15" t="str">
        <x:v>所有獎金事件時點Active</x:v>
      </x:c>
      <x:c r="D6" s="15" t="str">
        <x:v>Temporal ActivePeriod</x:v>
      </x:c>
      <x:c r="E6" s="15" t="str">
        <x:v>active + bonus services</x:v>
      </x:c>
      <x:c r="F6" s="15" t="str">
        <x:v>UAT-R6-005</x:v>
      </x:c>
      <x:c r="G6" s="15" t="str">
        <x:v>Implemented</x:v>
      </x:c>
      <x:c r="H6" s="15" t="str">
        <x:v>SRC-02/SRC-07</x:v>
      </x:c>
    </x:row>
    <x:row r="7">
      <x:c r="A7" s="15" t="str">
        <x:v>R10B-006</x:v>
      </x:c>
      <x:c r="B7" s="15" t="str">
        <x:v>G1</x:v>
      </x:c>
      <x:c r="C7" s="15" t="str">
        <x:v>STARTER/ELITE/LEADER=15/20/25%</x:v>
      </x:c>
      <x:c r="D7" s="15" t="str">
        <x:v>0.15/0.20/0.25</x:v>
      </x:c>
      <x:c r="E7" s="15" t="str">
        <x:v>0003 runtime params</x:v>
      </x:c>
      <x:c r="F7" s="15" t="str">
        <x:v>golden-economic</x:v>
      </x:c>
      <x:c r="G7" s="15" t="str">
        <x:v>Implemented</x:v>
      </x:c>
      <x:c r="H7" s="15" t="str">
        <x:v>SRC-02/SRC-06</x:v>
      </x:c>
    </x:row>
    <x:row r="8">
      <x:c r="A8" s="15" t="str">
        <x:v>R10B-007</x:v>
      </x:c>
      <x:c r="B8" s="15" t="str">
        <x:v>Equalization</x:v>
      </x:c>
      <x:c r="C8" s="15" t="str">
        <x:v>Leader G5=10%</x:v>
      </x:c>
      <x:c r="D8" s="15" t="str">
        <x:v>0.10</x:v>
      </x:c>
      <x:c r="E8" s="15" t="str">
        <x:v>0003 parameter LEADER:G5</x:v>
      </x:c>
      <x:c r="F8" s="15" t="str">
        <x:v>golden-domain/db-golden</x:v>
      </x:c>
      <x:c r="G8" s="15" t="str">
        <x:v>Implemented</x:v>
      </x:c>
      <x:c r="H8" s="15" t="str">
        <x:v>SRC-02/SRC-06/SRC-07</x:v>
      </x:c>
    </x:row>
    <x:row r="9">
      <x:c r="A9" s="15" t="str">
        <x:v>R10B-008</x:v>
      </x:c>
      <x:c r="B9" s="15" t="str">
        <x:v>K0</x:v>
      </x:c>
      <x:c r="C9" s="15" t="str">
        <x:v>Referral Pool 42%, K0&lt;=1</x:v>
      </x:c>
      <x:c r="D9" s="15" t="str">
        <x:v>0.42</x:v>
      </x:c>
      <x:c r="E9" s="15" t="str">
        <x:v>pool.referral.rate</x:v>
      </x:c>
      <x:c r="F9" s="15" t="str">
        <x:v>golden-r1b/db-golden</x:v>
      </x:c>
      <x:c r="G9" s="15" t="str">
        <x:v>Implemented</x:v>
      </x:c>
      <x:c r="H9" s="15" t="str">
        <x:v>SRC-02/SRC-06</x:v>
      </x:c>
    </x:row>
    <x:row r="10">
      <x:c r="A10" s="15" t="str">
        <x:v>R10B-009</x:v>
      </x:c>
      <x:c r="B10" s="15" t="str">
        <x:v>Binary</x:v>
      </x:c>
      <x:c r="C10" s="15" t="str">
        <x:v>Pair rate 12%</x:v>
      </x:c>
      <x:c r="D10" s="15" t="str">
        <x:v>0.12</x:v>
      </x:c>
      <x:c r="E10" s="15" t="str">
        <x:v>binary.pair.rate</x:v>
      </x:c>
      <x:c r="F10" s="15" t="str">
        <x:v>golden-economic</x:v>
      </x:c>
      <x:c r="G10" s="15" t="str">
        <x:v>Implemented</x:v>
      </x:c>
      <x:c r="H10" s="15" t="str">
        <x:v>SRC-02/SRC-06</x:v>
      </x:c>
    </x:row>
    <x:row r="11">
      <x:c r="A11" s="15" t="str">
        <x:v>R10B-010</x:v>
      </x:c>
      <x:c r="B11" s="15" t="str">
        <x:v>Binary caps</x:v>
      </x:c>
      <x:c r="C11" s="15" t="str">
        <x:v>450k/900k/1.5m paired PV</x:v>
      </x:c>
      <x:c r="D11" s="15" t="str">
        <x:v>Plan caps</x:v>
      </x:c>
      <x:c r="E11" s="15" t="str">
        <x:v>binary.weekly.cap</x:v>
      </x:c>
      <x:c r="F11" s="15" t="str">
        <x:v>golden/replay</x:v>
      </x:c>
      <x:c r="G11" s="15" t="str">
        <x:v>Implemented</x:v>
      </x:c>
      <x:c r="H11" s="15" t="str">
        <x:v>SRC-02/SRC-06</x:v>
      </x:c>
    </x:row>
    <x:row r="12">
      <x:c r="A12" s="15" t="str">
        <x:v>R10B-011</x:v>
      </x:c>
      <x:c r="B12" s="15" t="str">
        <x:v>K1</x:v>
      </x:c>
      <x:c r="C12" s="15" t="str">
        <x:v>Binary Pool 36%, K1&lt;=1</x:v>
      </x:c>
      <x:c r="D12" s="15" t="str">
        <x:v>0.36</x:v>
      </x:c>
      <x:c r="E12" s="15" t="str">
        <x:v>pool.binary.rate</x:v>
      </x:c>
      <x:c r="F12" s="15" t="str">
        <x:v>golden-r1b</x:v>
      </x:c>
      <x:c r="G12" s="15" t="str">
        <x:v>Implemented</x:v>
      </x:c>
      <x:c r="H12" s="15" t="str">
        <x:v>SRC-02/SRC-06</x:v>
      </x:c>
    </x:row>
    <x:row r="13">
      <x:c r="A13" s="15" t="str">
        <x:v>R10B-012</x:v>
      </x:c>
      <x:c r="B13" s="15" t="str">
        <x:v>Matching</x:v>
      </x:c>
      <x:c r="C13" s="15" t="str">
        <x:v>Post-K1 Binary Paid; 15/10/5/5/5</x:v>
      </x:c>
      <x:c r="D13" s="15" t="str">
        <x:v>G1-G5</x:v>
      </x:c>
      <x:c r="E13" s="15" t="str">
        <x:v>matching params/source award</x:v>
      </x:c>
      <x:c r="F13" s="15" t="str">
        <x:v>golden/replay</x:v>
      </x:c>
      <x:c r="G13" s="15" t="str">
        <x:v>Implemented</x:v>
      </x:c>
      <x:c r="H13" s="15" t="str">
        <x:v>SRC-02/SRC-07</x:v>
      </x:c>
    </x:row>
    <x:row r="14">
      <x:c r="A14" s="15" t="str">
        <x:v>R10B-013</x:v>
      </x:c>
      <x:c r="B14" s="15" t="str">
        <x:v>K2</x:v>
      </x:c>
      <x:c r="C14" s="15" t="str">
        <x:v>Matching Pool 15%, K2&lt;=1</x:v>
      </x:c>
      <x:c r="D14" s="15" t="str">
        <x:v>0.15</x:v>
      </x:c>
      <x:c r="E14" s="15" t="str">
        <x:v>pool.matching.rate</x:v>
      </x:c>
      <x:c r="F14" s="15" t="str">
        <x:v>golden-r1b</x:v>
      </x:c>
      <x:c r="G14" s="15" t="str">
        <x:v>Implemented</x:v>
      </x:c>
      <x:c r="H14" s="15" t="str">
        <x:v>SRC-02/SRC-06</x:v>
      </x:c>
    </x:row>
    <x:row r="15">
      <x:c r="A15" s="15" t="str">
        <x:v>R10B-014</x:v>
      </x:c>
      <x:c r="B15" s="15" t="str">
        <x:v>Subscription</x:v>
      </x:c>
      <x:c r="C15" s="15" t="str">
        <x:v>6k/12k/24k; 3/6/12期</x:v>
      </x:c>
      <x:c r="D15" s="15" t="str">
        <x:v>Monthly 2,000/1,200 RPV</x:v>
      </x:c>
      <x:c r="E15" s="15" t="str">
        <x:v>0002 migration</x:v>
      </x:c>
      <x:c r="F15" s="15" t="str">
        <x:v>UAT-R6-004</x:v>
      </x:c>
      <x:c r="G15" s="15" t="str">
        <x:v>Implemented</x:v>
      </x:c>
      <x:c r="H15" s="15" t="str">
        <x:v>SRC-02/SRC-06</x:v>
      </x:c>
    </x:row>
    <x:row r="16">
      <x:c r="A16" s="15" t="str">
        <x:v>R10B-015</x:v>
      </x:c>
      <x:c r="B16" s="15" t="str">
        <x:v>RPV</x:v>
      </x:c>
      <x:c r="C16" s="15" t="str">
        <x:v>Binary Tree; 0/1/2+ → 5/8/12；每代100</x:v>
      </x:c>
      <x:c r="D16" s="15" t="str">
        <x:v>5/8/12</x:v>
      </x:c>
      <x:c r="E16" s="15" t="str">
        <x:v>worker + schema constraints</x:v>
      </x:c>
      <x:c r="F16" s="15" t="str">
        <x:v>golden/UAT</x:v>
      </x:c>
      <x:c r="G16" s="15" t="str">
        <x:v>Implemented</x:v>
      </x:c>
      <x:c r="H16" s="15" t="str">
        <x:v>SRC-02/SRC-07</x:v>
      </x:c>
    </x:row>
    <x:row r="17">
      <x:c r="A17" s="15" t="str">
        <x:v>R10B-016</x:v>
      </x:c>
      <x:c r="B17" s="15" t="str">
        <x:v>EPV</x:v>
      </x:c>
      <x:c r="C17" s="15" t="str">
        <x:v>REPURCHASE excess×60%; self50%; G1-G5 each6%</x:v>
      </x:c>
      <x:c r="D17" s="15" t="str">
        <x:v>As specified</x:v>
      </x:c>
      <x:c r="E17" s="15" t="str">
        <x:v>EPV module/params</x:v>
      </x:c>
      <x:c r="F17" s="15" t="str">
        <x:v>golden/UAT</x:v>
      </x:c>
      <x:c r="G17" s="15" t="str">
        <x:v>Implemented</x:v>
      </x:c>
      <x:c r="H17" s="15" t="str">
        <x:v>SRC-02/SRC-07</x:v>
      </x:c>
    </x:row>
    <x:row r="18">
      <x:c r="A18" s="15" t="str">
        <x:v>R10B-017</x:v>
      </x:c>
      <x:c r="B18" s="15" t="str">
        <x:v>Global</x:v>
      </x:c>
      <x:c r="C18" s="15" t="str">
        <x:v>Pool5% + rank slice/weak-leg thresholds</x:v>
      </x:c>
      <x:c r="D18" s="15" t="str">
        <x:v>5%</x:v>
      </x:c>
      <x:c r="E18" s="15" t="str">
        <x:v>0004 params/global-pool.service</x:v>
      </x:c>
      <x:c r="F18" s="15" t="str">
        <x:v>DB/UAT</x:v>
      </x:c>
      <x:c r="G18" s="15" t="str">
        <x:v>Implemented</x:v>
      </x:c>
      <x:c r="H18" s="15" t="str">
        <x:v>SRC-02/SRC-06</x:v>
      </x:c>
    </x:row>
    <x:row r="19">
      <x:c r="A19" s="15" t="str">
        <x:v>R10B-018</x:v>
      </x:c>
      <x:c r="B19" s="15" t="str">
        <x:v>Welfare</x:v>
      </x:c>
      <x:c r="C19" s="15" t="str">
        <x:v>Pool2% accrual only</x:v>
      </x:c>
      <x:c r="D19" s="15" t="str">
        <x:v>2% accrual</x:v>
      </x:c>
      <x:c r="E19" s="15" t="str">
        <x:v>0004 params/welfare accrual</x:v>
      </x:c>
      <x:c r="F19" s="15" t="str">
        <x:v>DB/UAT</x:v>
      </x:c>
      <x:c r="G19" s="15" t="str">
        <x:v>Implemented</x:v>
      </x:c>
      <x:c r="H19" s="15" t="str">
        <x:v>SRC-02/SRC-07</x:v>
      </x:c>
    </x:row>
    <x:row r="20">
      <x:c r="A20" s="15" t="str">
        <x:v>R10B-019</x:v>
      </x:c>
      <x:c r="B20" s="15" t="str">
        <x:v>Lifecycle</x:v>
      </x:c>
      <x:c r="C20" s="15" t="str">
        <x:v>45D Pending→Effective→Payable→Paid</x:v>
      </x:c>
      <x:c r="D20" s="15" t="str">
        <x:v>45 days</x:v>
      </x:c>
      <x:c r="E20" s="15" t="str">
        <x:v>worker/lifecycle/payout</x:v>
      </x:c>
      <x:c r="F20" s="15" t="str">
        <x:v>UAT-R6-012</x:v>
      </x:c>
      <x:c r="G20" s="15" t="str">
        <x:v>Implemented</x:v>
      </x:c>
      <x:c r="H20" s="15" t="str">
        <x:v>SRC-02/SRC-07</x:v>
      </x:c>
    </x:row>
    <x:row r="21">
      <x:c r="A21" s="15" t="str">
        <x:v>R10B-020</x:v>
      </x:c>
      <x:c r="B21" s="15" t="str">
        <x:v>Return correction</x:v>
      </x:c>
      <x:c r="C21" s="15" t="str">
        <x:v>No overwrite; Reversal/Recovery/Replay/Adjustment</x:v>
      </x:c>
      <x:c r="D21" s="15" t="str">
        <x:v>Append-only</x:v>
      </x:c>
      <x:c r="E21" s="15" t="str">
        <x:v>return/adjustment modules</x:v>
      </x:c>
      <x:c r="F21" s="15" t="str">
        <x:v>UAT-R6-009/010/028</x:v>
      </x:c>
      <x:c r="G21" s="15" t="str">
        <x:v>Implemented</x:v>
      </x:c>
      <x:c r="H21" s="15" t="str">
        <x:v>SRC-02/SRC-06</x:v>
      </x:c>
    </x:row>
    <x:row r="22">
      <x:c r="A22" s="15" t="str">
        <x:v>R10B-021</x:v>
      </x:c>
      <x:c r="B22" s="15" t="str">
        <x:v>Workflow fee</x:v>
      </x:c>
      <x:c r="C22" s="15" t="str">
        <x:v>Upgrade/Transfer review fee NT$600</x:v>
      </x:c>
      <x:c r="D22" s="15" t="str">
        <x:v>600</x:v>
      </x:c>
      <x:c r="E22" s="15" t="str">
        <x:v>qualification workflow</x:v>
      </x:c>
      <x:c r="F22" s="15" t="str">
        <x:v>UAT-R6-006/007</x:v>
      </x:c>
      <x:c r="G22" s="15" t="str">
        <x:v>Implemented</x:v>
      </x:c>
      <x:c r="H22" s="15" t="str">
        <x:v>SRC-02/SRC-06</x:v>
      </x:c>
    </x:row>
    <x:row r="23">
      <x:c r="A23" s="15" t="str">
        <x:v>R10B-022</x:v>
      </x:c>
      <x:c r="B23" s="15" t="str">
        <x:v>No Physical Delete</x:v>
      </x:c>
      <x:c r="C23" s="15" t="str">
        <x:v>Ledger/settlement/docs/admin grant retained</x:v>
      </x:c>
      <x:c r="D23" s="15" t="str">
        <x:v>Append/supersede/revoke</x:v>
      </x:c>
      <x:c r="E23" s="15" t="str">
        <x:v>DB triggers/migrations</x:v>
      </x:c>
      <x:c r="F23" s="15" t="str">
        <x:v>Integrity/UAT</x:v>
      </x:c>
      <x:c r="G23" s="15" t="str">
        <x:v>Implemented</x:v>
      </x:c>
      <x:c r="H23" s="15" t="str">
        <x:v>SRC-01/SRC-05/SRC-06</x:v>
      </x:c>
    </x:row>
  </x:sheetData>
  <x:pageMargins left="0.7" right="0.7" top="0.75" bottom="0.75" header="0.3" footer="0.3"/>
  <x:tableParts count="1">
    <x:tablePart xmlns:r="http://schemas.openxmlformats.org/officeDocument/2006/relationships" r:id="R4c22bc2743774f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8" hidden="0" customWidth="1"/>
    <x:col min="4" max="4" width="36" hidden="0" customWidth="1"/>
    <x:col min="5" max="5" width="36" hidden="0" customWidth="1"/>
    <x:col min="6" max="6" width="18" hidden="0" customWidth="1"/>
    <x:col min="7" max="7" width="36" hidden="0" customWidth="1"/>
    <x:col min="8" max="8" width="16" hidden="0" customWidth="1"/>
  </x:cols>
  <x:sheetData>
    <x:row r="1">
      <x:c r="A1" s="14" t="str">
        <x:v>Skill ID</x:v>
      </x:c>
      <x:c r="B1" s="14" t="str">
        <x:v>用途</x:v>
      </x:c>
      <x:c r="C1" s="14" t="str">
        <x:v>資料範圍</x:v>
      </x:c>
      <x:c r="D1" s="14" t="str">
        <x:v>允許</x:v>
      </x:c>
      <x:c r="E1" s="14" t="str">
        <x:v>禁止</x:v>
      </x:c>
      <x:c r="F1" s="14" t="str">
        <x:v>目前Runtime</x:v>
      </x:c>
      <x:c r="G1" s="14" t="str">
        <x:v>未來所需</x:v>
      </x:c>
      <x:c r="H1" s="14" t="str">
        <x:v>來源</x:v>
      </x:c>
    </x:row>
    <x:row r="2">
      <x:c r="A2" s="15" t="str">
        <x:v>UCELL.R10B.BONUS.EXPLAIN</x:v>
      </x:c>
      <x:c r="B2" s="15" t="str">
        <x:v>解釋Referral/Equalization/Binary/Matching/EPV/Global來源</x:v>
      </x:c>
      <x:c r="C2" s="15" t="str">
        <x:v>Qualification scoped</x:v>
      </x:c>
      <x:c r="D2" s="15" t="str">
        <x:v>查來源事件、Active、K值、快照</x:v>
      </x:c>
      <x:c r="E2" s="15" t="str">
        <x:v>不得估算/改寫Award</x:v>
      </x:c>
      <x:c r="F2" s="15" t="str">
        <x:v>Deferred runtime</x:v>
      </x:c>
      <x:c r="G2" s="15" t="str">
        <x:v>Read-only Skill API + audit log</x:v>
      </x:c>
      <x:c r="H2" s="15" t="str">
        <x:v>SRC-07</x:v>
      </x:c>
    </x:row>
    <x:row r="3">
      <x:c r="A3" s="15" t="str">
        <x:v>UCELL.R10B.RULE.DIFF</x:v>
      </x:c>
      <x:c r="B3" s="15" t="str">
        <x:v>比較Rule Versions</x:v>
      </x:c>
      <x:c r="C3" s="15" t="str">
        <x:v>Rule registry</x:v>
      </x:c>
      <x:c r="D3" s="15" t="str">
        <x:v>比較差異</x:v>
      </x:c>
      <x:c r="E3" s="15" t="str">
        <x:v>不得把歷史版自動套入Production</x:v>
      </x:c>
      <x:c r="F3" s="15" t="str">
        <x:v>Deferred runtime</x:v>
      </x:c>
      <x:c r="G3" s="15" t="str">
        <x:v>Rule Registry adapter</x:v>
      </x:c>
      <x:c r="H3" s="15" t="str">
        <x:v>SRC-07</x:v>
      </x:c>
    </x:row>
    <x:row r="4">
      <x:c r="A4" s="15" t="str">
        <x:v>UCELL.ORG.SONAR</x:v>
      </x:c>
      <x:c r="B4" s="15" t="str">
        <x:v>Sponsor/Binary組織健康</x:v>
      </x:c>
      <x:c r="C4" s="15" t="str">
        <x:v>Authorized org scope</x:v>
      </x:c>
      <x:c r="D4" s="15" t="str">
        <x:v>Active/失衡/流失診斷</x:v>
      </x:c>
      <x:c r="E4" s="15" t="str">
        <x:v>不得改組織</x:v>
      </x:c>
      <x:c r="F4" s="15" t="str">
        <x:v>Deferred runtime</x:v>
      </x:c>
      <x:c r="G4" s="15" t="str">
        <x:v>Observability read models可作資料源</x:v>
      </x:c>
      <x:c r="H4" s="15" t="str">
        <x:v>SRC-07</x:v>
      </x:c>
    </x:row>
    <x:row r="5">
      <x:c r="A5" s="15" t="str">
        <x:v>UCELL.COMPENSATION.STRESS</x:v>
      </x:c>
      <x:c r="B5" s="15" t="str">
        <x:v>K0/K1/K2/Pool/Carry/Clawback壓力</x:v>
      </x:c>
      <x:c r="C5" s="15" t="str">
        <x:v>Finance authorized</x:v>
      </x:c>
      <x:c r="D5" s="15" t="str">
        <x:v>異常/壓力分析</x:v>
      </x:c>
      <x:c r="E5" s="15" t="str">
        <x:v>不得改Settlement/Payout</x:v>
      </x:c>
      <x:c r="F5" s="15" t="str">
        <x:v>Deferred runtime</x:v>
      </x:c>
      <x:c r="G5" s="15" t="str">
        <x:v>Observability + integrity APIs</x:v>
      </x:c>
      <x:c r="H5" s="15" t="str">
        <x:v>SRC-07</x:v>
      </x:c>
    </x:row>
    <x:row r="6">
      <x:c r="A6" s="15" t="str">
        <x:v>UCELL.MEMBER.NBA</x:v>
      </x:c>
      <x:c r="B6" s="15" t="str">
        <x:v>會員下一最佳行動</x:v>
      </x:c>
      <x:c r="C6" s="15" t="str">
        <x:v>Person + owned Qualifications</x:v>
      </x:c>
      <x:c r="D6" s="15" t="str">
        <x:v>建議行動</x:v>
      </x:c>
      <x:c r="E6" s="15" t="str">
        <x:v>不得修改制度/自動交易</x:v>
      </x:c>
      <x:c r="F6" s="15" t="str">
        <x:v>Deferred runtime</x:v>
      </x:c>
      <x:c r="G6" s="15" t="str">
        <x:v>LINE/Member Center phase</x:v>
      </x:c>
      <x:c r="H6" s="15" t="str">
        <x:v>SRC-07</x:v>
      </x:c>
    </x:row>
    <x:row r="7">
      <x:c r="A7" s="15" t="str">
        <x:v>UCELL.COMPLIANCE.GUARD</x:v>
      </x:c>
      <x:c r="B7" s="15" t="str">
        <x:v>法遵/宣稱/舊版制度掃描</x:v>
      </x:c>
      <x:c r="C7" s="15" t="str">
        <x:v>Content/document scope</x:v>
      </x:c>
      <x:c r="D7" s="15" t="str">
        <x:v>風險提示</x:v>
      </x:c>
      <x:c r="E7" s="15" t="str">
        <x:v>不得自動發布內容</x:v>
      </x:c>
      <x:c r="F7" s="15" t="str">
        <x:v>Deferred runtime</x:v>
      </x:c>
      <x:c r="G7" s="15" t="str">
        <x:v>Document/Audit adapter</x:v>
      </x:c>
      <x:c r="H7" s="15" t="str">
        <x:v>SRC-07</x:v>
      </x:c>
    </x:row>
    <x:row r="8">
      <x:c r="A8" s="15" t="str">
        <x:v>UCELL.DIGITAL_TWIN</x:v>
      </x:c>
      <x:c r="B8" s="15" t="str">
        <x:v>情境模擬</x:v>
      </x:c>
      <x:c r="C8" s="15" t="str">
        <x:v>Isolated dataset</x:v>
      </x:c>
      <x:c r="D8" s="15" t="str">
        <x:v>模擬</x:v>
      </x:c>
      <x:c r="E8" s="15" t="str">
        <x:v>不可寫Production Ledger</x:v>
      </x:c>
      <x:c r="F8" s="15" t="str">
        <x:v>Deferred runtime</x:v>
      </x:c>
      <x:c r="G8" s="15" t="str">
        <x:v>Separate sandbox</x:v>
      </x:c>
      <x:c r="H8" s="15" t="str">
        <x:v>SRC-07</x:v>
      </x:c>
    </x:row>
    <x:row r="9">
      <x:c r="A9" s="15" t="str">
        <x:v>UCELL.EXECUTIVE.COMMAND</x:v>
      </x:c>
      <x:c r="B9" s="15" t="str">
        <x:v>會員/商品/組織/獎池/退貨/法遵彙總</x:v>
      </x:c>
      <x:c r="C9" s="15" t="str">
        <x:v>Executive RBAC</x:v>
      </x:c>
      <x:c r="D9" s="15" t="str">
        <x:v>彙總/診斷</x:v>
      </x:c>
      <x:c r="E9" s="15" t="str">
        <x:v>不得越權PII/付款</x:v>
      </x:c>
      <x:c r="F9" s="15" t="str">
        <x:v>Deferred runtime</x:v>
      </x:c>
      <x:c r="G9" s="15" t="str">
        <x:v>Read-only executive read model</x:v>
      </x:c>
      <x:c r="H9" s="15" t="str">
        <x:v>SRC-07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6" hidden="0" customWidth="1"/>
    <x:col min="5" max="5" width="48" hidden="0" customWidth="1"/>
  </x:cols>
  <x:sheetData>
    <x:row r="1">
      <x:c r="A1" s="14" t="str">
        <x:v>Gate</x:v>
      </x:c>
      <x:c r="B1" s="14" t="str">
        <x:v>目前狀態</x:v>
      </x:c>
      <x:c r="C1" s="14" t="str">
        <x:v>Production必須</x:v>
      </x:c>
      <x:c r="D1" s="14" t="str">
        <x:v>證據</x:v>
      </x:c>
      <x:c r="E1" s="14" t="str">
        <x:v>下一步</x:v>
      </x:c>
    </x:row>
    <x:row r="2">
      <x:c r="A2" s="15" t="str">
        <x:v>Offline Static/Golden Gates</x:v>
      </x:c>
      <x:c r="B2" s="15" t="str">
        <x:v>PASS</x:v>
      </x:c>
      <x:c r="C2" s="15" t="str">
        <x:v>Yes</x:v>
      </x:c>
      <x:c r="D2" s="15" t="str">
        <x:v>backend/docs/REVIEW_R6_OFFLINE_PREFLIGHT_OUTPUT.txt</x:v>
      </x:c>
      <x:c r="E2" s="15" t="str">
        <x:v>已通過</x:v>
      </x:c>
    </x:row>
    <x:row r="3">
      <x:c r="A3" s="15" t="str">
        <x:v>Admin Static/Self Audit</x:v>
      </x:c>
      <x:c r="B3" s="15" t="str">
        <x:v>PASS</x:v>
      </x:c>
      <x:c r="C3" s="15" t="str">
        <x:v>Yes</x:v>
      </x:c>
      <x:c r="D3" s="15" t="str">
        <x:v>admin/docs/VALIDATION_OUTPUT_V060.txt</x:v>
      </x:c>
      <x:c r="E3" s="15" t="str">
        <x:v>已通過</x:v>
      </x:c>
    </x:row>
    <x:row r="4">
      <x:c r="A4" s="15" t="str">
        <x:v>Dependency Lockfiles</x:v>
      </x:c>
      <x:c r="B4" s="15" t="str">
        <x:v>BLOCKED</x:v>
      </x:c>
      <x:c r="C4" s="15" t="str">
        <x:v>Yes</x:v>
      </x:c>
      <x:c r="D4" s="15" t="str">
        <x:v>backend/admin DEPENDENCY_LOCK_POLICY</x:v>
      </x:c>
      <x:c r="E4" s="15" t="str">
        <x:v>需connected DEV產生並審查pnpm-lock.yaml</x:v>
      </x:c>
    </x:row>
    <x:row r="5">
      <x:c r="A5" s="15" t="str">
        <x:v>Dependency Install</x:v>
      </x:c>
      <x:c r="B5" s="15" t="str">
        <x:v>BLOCKED</x:v>
      </x:c>
      <x:c r="C5" s="15" t="str">
        <x:v>Yes</x:v>
      </x:c>
      <x:c r="D5" s="15" t="str">
        <x:v>RELEASE_PREP_CURRENT_OUTPUT</x:v>
      </x:c>
      <x:c r="E5" s="15" t="str">
        <x:v>目前環境無pnpm/network</x:v>
      </x:c>
    </x:row>
    <x:row r="6">
      <x:c r="A6" s="15" t="str">
        <x:v>Prisma Validate/Generate</x:v>
      </x:c>
      <x:c r="B6" s="15" t="str">
        <x:v>NOT RUN</x:v>
      </x:c>
      <x:c r="C6" s="15" t="str">
        <x:v>Yes</x:v>
      </x:c>
      <x:c r="D6" s="15" t="str">
        <x:v>release gate</x:v>
      </x:c>
      <x:c r="E6" s="15" t="str">
        <x:v>connected CI執行</x:v>
      </x:c>
    </x:row>
    <x:row r="7">
      <x:c r="A7" s="15" t="str">
        <x:v>TypeScript Build</x:v>
      </x:c>
      <x:c r="B7" s="15" t="str">
        <x:v>NOT RUN</x:v>
      </x:c>
      <x:c r="C7" s="15" t="str">
        <x:v>Yes</x:v>
      </x:c>
      <x:c r="D7" s="15" t="str">
        <x:v>release gate</x:v>
      </x:c>
      <x:c r="E7" s="15" t="str">
        <x:v>connected CI執行</x:v>
      </x:c>
    </x:row>
    <x:row r="8">
      <x:c r="A8" s="15" t="str">
        <x:v>PostgreSQL Migrate Deploy 0001-0016</x:v>
      </x:c>
      <x:c r="B8" s="15" t="str">
        <x:v>NOT RUN</x:v>
      </x:c>
      <x:c r="C8" s="15" t="str">
        <x:v>Yes</x:v>
      </x:c>
      <x:c r="D8" s="15" t="str">
        <x:v>release gate</x:v>
      </x:c>
      <x:c r="E8" s="15" t="str">
        <x:v>staging DB執行</x:v>
      </x:c>
    </x:row>
    <x:row r="9">
      <x:c r="A9" s="15" t="str">
        <x:v>DB Golden E2E</x:v>
      </x:c>
      <x:c r="B9" s="15" t="str">
        <x:v>NOT RUN</x:v>
      </x:c>
      <x:c r="C9" s="15" t="str">
        <x:v>Yes</x:v>
      </x:c>
      <x:c r="D9" s="15" t="str">
        <x:v>scripts/db-golden-e2e.ts</x:v>
      </x:c>
      <x:c r="E9" s="15" t="str">
        <x:v>staging DB執行</x:v>
      </x:c>
    </x:row>
    <x:row r="10">
      <x:c r="A10" s="15" t="str">
        <x:v>OpenAPI/HTTP Smoke</x:v>
      </x:c>
      <x:c r="B10" s="15" t="str">
        <x:v>NOT RUN</x:v>
      </x:c>
      <x:c r="C10" s="15" t="str">
        <x:v>Yes</x:v>
      </x:c>
      <x:c r="D10" s="15" t="str">
        <x:v>scripts/openapi/http smoke</x:v>
      </x:c>
      <x:c r="E10" s="15" t="str">
        <x:v>啟動API後執行</x:v>
      </x:c>
    </x:row>
    <x:row r="11">
      <x:c r="A11" s="15" t="str">
        <x:v>Live Entra/JWKS Login</x:v>
      </x:c>
      <x:c r="B11" s="15" t="str">
        <x:v>NOT RUN</x:v>
      </x:c>
      <x:c r="C11" s="15" t="str">
        <x:v>Yes</x:v>
      </x:c>
      <x:c r="D11" s="15" t="str">
        <x:v>R6 auth</x:v>
      </x:c>
      <x:c r="E11" s="15" t="str">
        <x:v>需真實Microsoft tenant/client</x:v>
      </x:c>
    </x:row>
    <x:row r="12">
      <x:c r="A12" s="15" t="str">
        <x:v>Security E2E / RBAC / BOLA-IDOR</x:v>
      </x:c>
      <x:c r="B12" s="15" t="str">
        <x:v>NOT RUN</x:v>
      </x:c>
      <x:c r="C12" s="15" t="str">
        <x:v>Yes</x:v>
      </x:c>
      <x:c r="D12" s="15" t="str">
        <x:v>security-http-e2e + UAT</x:v>
      </x:c>
      <x:c r="E12" s="15" t="str">
        <x:v>需不同角色測試帳號</x:v>
      </x:c>
    </x:row>
    <x:row r="13">
      <x:c r="A13" s="15" t="str">
        <x:v>UAT P0 (21 cases)</x:v>
      </x:c>
      <x:c r="B13" s="15" t="str">
        <x:v>NOT RUN</x:v>
      </x:c>
      <x:c r="C13" s="15" t="str">
        <x:v>Yes</x:v>
      </x:c>
      <x:c r="D13" s="15" t="str">
        <x:v>docs/UAT_EXECUTION_R6.csv</x:v>
      </x:c>
      <x:c r="E13" s="15" t="str">
        <x:v>目前全部NOT_RUN</x:v>
      </x:c>
    </x:row>
    <x:row r="14">
      <x:c r="A14" s="15" t="str">
        <x:v>UAT P1 (9 cases)</x:v>
      </x:c>
      <x:c r="B14" s="15" t="str">
        <x:v>NOT RUN</x:v>
      </x:c>
      <x:c r="C14" s="15" t="str">
        <x:v>Yes</x:v>
      </x:c>
      <x:c r="D14" s="15" t="str">
        <x:v>docs/UAT_EXECUTION_R6.csv</x:v>
      </x:c>
      <x:c r="E14" s="15" t="str">
        <x:v>目前全部NOT_RUN</x:v>
      </x:c>
    </x:row>
    <x:row r="15">
      <x:c r="A15" s="15" t="str">
        <x:v>Zero CRITICAL Integrity Alerts</x:v>
      </x:c>
      <x:c r="B15" s="15" t="str">
        <x:v>NOT RUN</x:v>
      </x:c>
      <x:c r="C15" s="15" t="str">
        <x:v>Yes</x:v>
      </x:c>
      <x:c r="D15" s="15" t="str">
        <x:v>/admin/ops-ready/integrity-alerts</x:v>
      </x:c>
      <x:c r="E15" s="15" t="str">
        <x:v>staging/production pre-cutover</x:v>
      </x:c>
    </x:row>
    <x:row r="16">
      <x:c r="A16" s="15" t="str">
        <x:v>Backup/Restore Drill</x:v>
      </x:c>
      <x:c r="B16" s="15" t="str">
        <x:v>NOT RUN</x:v>
      </x:c>
      <x:c r="C16" s="15" t="str">
        <x:v>Yes</x:v>
      </x:c>
      <x:c r="D16" s="15" t="str">
        <x:v>deployment backup/restore scripts</x:v>
      </x:c>
      <x:c r="E16" s="15" t="str">
        <x:v>需PostgreSQL環境</x:v>
      </x:c>
    </x:row>
    <x:row r="17">
      <x:c r="A17" s="15" t="str">
        <x:v>RC Promotion Gate</x:v>
      </x:c>
      <x:c r="B17" s="15" t="str">
        <x:v>BLOCKED</x:v>
      </x:c>
      <x:c r="C17" s="15" t="str">
        <x:v>Yes</x:v>
      </x:c>
      <x:c r="D17" s="15" t="str">
        <x:v>release/R6_RELEASE_GATE.json</x:v>
      </x:c>
      <x:c r="E17" s="15" t="str">
        <x:v>上述全部PASS才可上線</x:v>
      </x:c>
    </x:row>
    <x:row r="18">
      <x:c r="A18" s="15" t="str">
        <x:v>LINE OA Phase 2</x:v>
      </x:c>
      <x:c r="B18" s="15" t="str">
        <x:v>DEFERRED</x:v>
      </x:c>
      <x:c r="C18" s="15" t="str">
        <x:v>No for Core MVP</x:v>
      </x:c>
      <x:c r="D18" s="15" t="str">
        <x:v>MVP spec</x:v>
      </x:c>
      <x:c r="E18" s="15" t="str">
        <x:v>後台Core上線後開發</x:v>
      </x:c>
    </x:row>
    <x:row r="19">
      <x:c r="A19" s="15" t="str">
        <x:v>D365 BC Adapter</x:v>
      </x:c>
      <x:c r="B19" s="15" t="str">
        <x:v>DEFERRED</x:v>
      </x:c>
      <x:c r="C19" s="15" t="str">
        <x:v>No for Core MVP</x:v>
      </x:c>
      <x:c r="D19" s="15" t="str">
        <x:v>MVP/Master spec</x:v>
      </x:c>
      <x:c r="E19" s="15" t="str">
        <x:v>Post-MVP</x:v>
      </x:c>
    </x:row>
    <x:row r="20">
      <x:c r="A20" s="15" t="str">
        <x:v>AI Skill Runtime</x:v>
      </x:c>
      <x:c r="B20" s="15" t="str">
        <x:v>DEFERRED</x:v>
      </x:c>
      <x:c r="C20" s="15" t="str">
        <x:v>No for Core MVP</x:v>
      </x:c>
      <x:c r="D20" s="15" t="str">
        <x:v>Intelligence OS/MVP spec</x:v>
      </x:c>
      <x:c r="E20" s="15" t="str">
        <x:v>另開AI governance gate</x:v>
      </x:c>
    </x:row>
    <x:row r="21">
      <x:c r="A21" t="str">
        <x:v>Executable E2E test placeholders</x:v>
      </x:c>
      <x:c r="B21" t="str">
        <x:v>BLOCKED</x:v>
      </x:c>
      <x:c r="C21" t="str">
        <x:v>Yes</x:v>
      </x:c>
      <x:c r="D21" t="str">
        <x:v>backend/apps/api/test: 148 it.todo/test.todo placeholders</x:v>
      </x:c>
      <x:c r="E21" t="str">
        <x:v>在Connected DEV完成/替換測試並通過Test TODO Gate</x:v>
      </x:c>
    </x:row>
  </x:sheetData>
  <x:conditionalFormatting sqref="B2:B20">
    <x:cfRule type="expression" dxfId="4" priority="1">
      <x:formula>B2="PASS"</x:formula>
    </x:cfRule>
    <x:cfRule type="expression" dxfId="5" priority="2">
      <x:formula>B2="BLOCKED"</x:formula>
    </x:cfRule>
    <x:cfRule type="expression" dxfId="6" priority="3">
      <x:formula>B2="NOT RUN"</x:formula>
    </x:cfRule>
    <x:cfRule type="expression" dxfId="7" priority="4">
      <x:formula>B2="DEFERRED"</x:formula>
    </x:cfRule>
    <x:cfRule type="expression" dxfId="8" priority="5">
      <x:formula>B2="FAIL"</x:formula>
    </x:cfRule>
  </x:conditionalFormatting>
  <x:conditionalFormatting sqref="B2:B200">
    <x:cfRule type="expression" dxfId="9" priority="6">
      <x:formula>B2="PASS"</x:formula>
    </x:cfRule>
    <x:cfRule type="expression" dxfId="10" priority="7">
      <x:formula>B2="BLOCKED"</x:formula>
    </x:cfRule>
    <x:cfRule type="expression" dxfId="11" priority="8">
      <x:formula>B2="NOT RUN"</x:formula>
    </x:cfRule>
    <x:cfRule type="expression" dxfId="12" priority="9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11da2fd26942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0" hidden="0" customWidth="1"/>
    <x:col min="3" max="3" width="36" hidden="0" customWidth="1"/>
    <x:col min="4" max="4" width="16" hidden="0" customWidth="1"/>
    <x:col min="5" max="5" width="16" hidden="0" customWidth="1"/>
  </x:cols>
  <x:sheetData>
    <x:row r="1">
      <x:c r="A1" s="14" t="str">
        <x:v>Method</x:v>
      </x:c>
      <x:c r="B1" s="14" t="str">
        <x:v>Path</x:v>
      </x:c>
      <x:c r="C1" s="14" t="str">
        <x:v>Label</x:v>
      </x:c>
      <x:c r="D1" s="14" t="str">
        <x:v>分類</x:v>
      </x:c>
      <x:c r="E1" s="14" t="str">
        <x:v>狀態</x:v>
      </x:c>
    </x:row>
    <x:row r="2">
      <x:c r="A2" s="15" t="str">
        <x:v>GET</x:v>
      </x:c>
      <x:c r="B2" s="15" t="str">
        <x:v>/health</x:v>
      </x:c>
      <x:c r="C2" s="15" t="str">
        <x:v>Health</x:v>
      </x:c>
      <x:c r="D2" s="15" t="str">
        <x:v>Auth</x:v>
      </x:c>
      <x:c r="E2" s="15" t="str">
        <x:v>R6 source</x:v>
      </x:c>
    </x:row>
    <x:row r="3">
      <x:c r="A3" s="15" t="str">
        <x:v>GET</x:v>
      </x:c>
      <x:c r="B3" s="15" t="str">
        <x:v>/admin/persons</x:v>
      </x:c>
      <x:c r="C3" s="15" t="str">
        <x:v>List persons</x:v>
      </x:c>
      <x:c r="D3" s="15" t="str">
        <x:v>Core</x:v>
      </x:c>
      <x:c r="E3" s="15" t="str">
        <x:v>R6 source</x:v>
      </x:c>
    </x:row>
    <x:row r="4">
      <x:c r="A4" s="15" t="str">
        <x:v>POST</x:v>
      </x:c>
      <x:c r="B4" s="15" t="str">
        <x:v>/admin/persons</x:v>
      </x:c>
      <x:c r="C4" s="15" t="str">
        <x:v>Create person</x:v>
      </x:c>
      <x:c r="D4" s="15" t="str">
        <x:v>Core</x:v>
      </x:c>
      <x:c r="E4" s="15" t="str">
        <x:v>R6 source</x:v>
      </x:c>
    </x:row>
    <x:row r="5">
      <x:c r="A5" s="15" t="str">
        <x:v>GET</x:v>
      </x:c>
      <x:c r="B5" s="15" t="str">
        <x:v>/admin/persons/:personId</x:v>
      </x:c>
      <x:c r="C5" s="15" t="str">
        <x:v>Get person</x:v>
      </x:c>
      <x:c r="D5" s="15" t="str">
        <x:v>Core</x:v>
      </x:c>
      <x:c r="E5" s="15" t="str">
        <x:v>R6 source</x:v>
      </x:c>
    </x:row>
    <x:row r="6">
      <x:c r="A6" s="15" t="str">
        <x:v>POST</x:v>
      </x:c>
      <x:c r="B6" s="15" t="str">
        <x:v>/admin/membership-applications</x:v>
      </x:c>
      <x:c r="C6" s="15" t="str">
        <x:v>Create application</x:v>
      </x:c>
      <x:c r="D6" s="15" t="str">
        <x:v>Core</x:v>
      </x:c>
      <x:c r="E6" s="15" t="str">
        <x:v>R6 source</x:v>
      </x:c>
    </x:row>
    <x:row r="7">
      <x:c r="A7" s="15" t="str">
        <x:v>GET</x:v>
      </x:c>
      <x:c r="B7" s="15" t="str">
        <x:v>/admin/membership-applications/:id</x:v>
      </x:c>
      <x:c r="C7" s="15" t="str">
        <x:v>Get application</x:v>
      </x:c>
      <x:c r="D7" s="15" t="str">
        <x:v>Core</x:v>
      </x:c>
      <x:c r="E7" s="15" t="str">
        <x:v>R6 source</x:v>
      </x:c>
    </x:row>
    <x:row r="8">
      <x:c r="A8" s="15" t="str">
        <x:v>POST</x:v>
      </x:c>
      <x:c r="B8" s="15" t="str">
        <x:v>/admin/membership-applications/:id/submit</x:v>
      </x:c>
      <x:c r="C8" s="15" t="str">
        <x:v>Submit application</x:v>
      </x:c>
      <x:c r="D8" s="15" t="str">
        <x:v>Core</x:v>
      </x:c>
      <x:c r="E8" s="15" t="str">
        <x:v>R6 source</x:v>
      </x:c>
    </x:row>
    <x:row r="9">
      <x:c r="A9" s="15" t="str">
        <x:v>POST</x:v>
      </x:c>
      <x:c r="B9" s="15" t="str">
        <x:v>/admin/membership-applications/:id/approve</x:v>
      </x:c>
      <x:c r="C9" s="15" t="str">
        <x:v>Approve application</x:v>
      </x:c>
      <x:c r="D9" s="15" t="str">
        <x:v>Core</x:v>
      </x:c>
      <x:c r="E9" s="15" t="str">
        <x:v>R6 source</x:v>
      </x:c>
    </x:row>
    <x:row r="10">
      <x:c r="A10" s="15" t="str">
        <x:v>POST</x:v>
      </x:c>
      <x:c r="B10" s="15" t="str">
        <x:v>/admin/qualifications</x:v>
      </x:c>
      <x:c r="C10" s="15" t="str">
        <x:v>Create qualification</x:v>
      </x:c>
      <x:c r="D10" s="15" t="str">
        <x:v>Core</x:v>
      </x:c>
      <x:c r="E10" s="15" t="str">
        <x:v>R6 source</x:v>
      </x:c>
    </x:row>
    <x:row r="11">
      <x:c r="A11" s="15" t="str">
        <x:v>GET</x:v>
      </x:c>
      <x:c r="B11" s="15" t="str">
        <x:v>/admin/qualifications/:qualificationId</x:v>
      </x:c>
      <x:c r="C11" s="15" t="str">
        <x:v>Get qualification</x:v>
      </x:c>
      <x:c r="D11" s="15" t="str">
        <x:v>Core</x:v>
      </x:c>
      <x:c r="E11" s="15" t="str">
        <x:v>R6 source</x:v>
      </x:c>
    </x:row>
    <x:row r="12">
      <x:c r="A12" s="15" t="str">
        <x:v>GET</x:v>
      </x:c>
      <x:c r="B12" s="15" t="str">
        <x:v>/admin/qualifications/:qualificationId/active/at</x:v>
      </x:c>
      <x:c r="C12" s="15" t="str">
        <x:v>Check active</x:v>
      </x:c>
      <x:c r="D12" s="15" t="str">
        <x:v>Core</x:v>
      </x:c>
      <x:c r="E12" s="15" t="str">
        <x:v>R6 source</x:v>
      </x:c>
    </x:row>
    <x:row r="13">
      <x:c r="A13" s="15" t="str">
        <x:v>POST</x:v>
      </x:c>
      <x:c r="B13" s="15" t="str">
        <x:v>/admin/qualifications/:qualificationId/active/periods</x:v>
      </x:c>
      <x:c r="C13" s="15" t="str">
        <x:v>Create active period</x:v>
      </x:c>
      <x:c r="D13" s="15" t="str">
        <x:v>Core</x:v>
      </x:c>
      <x:c r="E13" s="15" t="str">
        <x:v>R6 source</x:v>
      </x:c>
    </x:row>
    <x:row r="14">
      <x:c r="A14" s="15" t="str">
        <x:v>POST</x:v>
      </x:c>
      <x:c r="B14" s="15" t="str">
        <x:v>/admin/organization/binary-placement</x:v>
      </x:c>
      <x:c r="C14" s="15" t="str">
        <x:v>Place in binary</x:v>
      </x:c>
      <x:c r="D14" s="15" t="str">
        <x:v>Core</x:v>
      </x:c>
      <x:c r="E14" s="15" t="str">
        <x:v>R6 source</x:v>
      </x:c>
    </x:row>
    <x:row r="15">
      <x:c r="A15" s="15" t="str">
        <x:v>GET</x:v>
      </x:c>
      <x:c r="B15" s="15" t="str">
        <x:v>/admin/products</x:v>
      </x:c>
      <x:c r="C15" s="15" t="str">
        <x:v>List products</x:v>
      </x:c>
      <x:c r="D15" s="15" t="str">
        <x:v>Core</x:v>
      </x:c>
      <x:c r="E15" s="15" t="str">
        <x:v>R6 source</x:v>
      </x:c>
    </x:row>
    <x:row r="16">
      <x:c r="A16" s="15" t="str">
        <x:v>POST</x:v>
      </x:c>
      <x:c r="B16" s="15" t="str">
        <x:v>/admin/products</x:v>
      </x:c>
      <x:c r="C16" s="15" t="str">
        <x:v>Create product</x:v>
      </x:c>
      <x:c r="D16" s="15" t="str">
        <x:v>Core</x:v>
      </x:c>
      <x:c r="E16" s="15" t="str">
        <x:v>R6 source</x:v>
      </x:c>
    </x:row>
    <x:row r="17">
      <x:c r="A17" s="15" t="str">
        <x:v>POST</x:v>
      </x:c>
      <x:c r="B17" s="15" t="str">
        <x:v>/admin/orders</x:v>
      </x:c>
      <x:c r="C17" s="15" t="str">
        <x:v>Create order</x:v>
      </x:c>
      <x:c r="D17" s="15" t="str">
        <x:v>Core</x:v>
      </x:c>
      <x:c r="E17" s="15" t="str">
        <x:v>R6 source</x:v>
      </x:c>
    </x:row>
    <x:row r="18">
      <x:c r="A18" s="15" t="str">
        <x:v>GET</x:v>
      </x:c>
      <x:c r="B18" s="15" t="str">
        <x:v>/admin/orders/:orderId</x:v>
      </x:c>
      <x:c r="C18" s="15" t="str">
        <x:v>Get order</x:v>
      </x:c>
      <x:c r="D18" s="15" t="str">
        <x:v>Core</x:v>
      </x:c>
      <x:c r="E18" s="15" t="str">
        <x:v>R6 source</x:v>
      </x:c>
    </x:row>
    <x:row r="19">
      <x:c r="A19" s="15" t="str">
        <x:v>POST</x:v>
      </x:c>
      <x:c r="B19" s="15" t="str">
        <x:v>/admin/orders/:orderId/payment-confirmations</x:v>
      </x:c>
      <x:c r="C19" s="15" t="str">
        <x:v>Confirm payment</x:v>
      </x:c>
      <x:c r="D19" s="15" t="str">
        <x:v>Core</x:v>
      </x:c>
      <x:c r="E19" s="15" t="str">
        <x:v>R6 source</x:v>
      </x:c>
    </x:row>
    <x:row r="20">
      <x:c r="A20" s="15" t="str">
        <x:v>POST</x:v>
      </x:c>
      <x:c r="B20" s="15" t="str">
        <x:v>/admin/orders/:orderId/returns</x:v>
      </x:c>
      <x:c r="C20" s="15" t="str">
        <x:v>Create return</x:v>
      </x:c>
      <x:c r="D20" s="15" t="str">
        <x:v>Core</x:v>
      </x:c>
      <x:c r="E20" s="15" t="str">
        <x:v>R6 source</x:v>
      </x:c>
    </x:row>
    <x:row r="21">
      <x:c r="A21" s="15" t="str">
        <x:v>POST</x:v>
      </x:c>
      <x:c r="B21" s="15" t="str">
        <x:v>/admin/orders/:orderId/returns/:returnCaseId/process-reversal</x:v>
      </x:c>
      <x:c r="C21" s="15" t="str">
        <x:v>Process reversal</x:v>
      </x:c>
      <x:c r="D21" s="15" t="str">
        <x:v>Core</x:v>
      </x:c>
      <x:c r="E21" s="15" t="str">
        <x:v>R6 source</x:v>
      </x:c>
    </x:row>
    <x:row r="22">
      <x:c r="A22" s="15" t="str">
        <x:v>GET</x:v>
      </x:c>
      <x:c r="B22" s="15" t="str">
        <x:v>/admin/subscriptions/plans</x:v>
      </x:c>
      <x:c r="C22" s="15" t="str">
        <x:v>List subscription plans</x:v>
      </x:c>
      <x:c r="D22" s="15" t="str">
        <x:v>Core</x:v>
      </x:c>
      <x:c r="E22" s="15" t="str">
        <x:v>R6 source</x:v>
      </x:c>
    </x:row>
    <x:row r="23">
      <x:c r="A23" s="15" t="str">
        <x:v>POST</x:v>
      </x:c>
      <x:c r="B23" s="15" t="str">
        <x:v>/admin/subscriptions</x:v>
      </x:c>
      <x:c r="C23" s="15" t="str">
        <x:v>Create subscription</x:v>
      </x:c>
      <x:c r="D23" s="15" t="str">
        <x:v>Core</x:v>
      </x:c>
      <x:c r="E23" s="15" t="str">
        <x:v>R6 source</x:v>
      </x:c>
    </x:row>
    <x:row r="24">
      <x:c r="A24" s="15" t="str">
        <x:v>GET</x:v>
      </x:c>
      <x:c r="B24" s="15" t="str">
        <x:v>/admin/subscriptions/:id</x:v>
      </x:c>
      <x:c r="C24" s="15" t="str">
        <x:v>Get subscription</x:v>
      </x:c>
      <x:c r="D24" s="15" t="str">
        <x:v>Core</x:v>
      </x:c>
      <x:c r="E24" s="15" t="str">
        <x:v>R6 source</x:v>
      </x:c>
    </x:row>
    <x:row r="25">
      <x:c r="A25" s="15" t="str">
        <x:v>POST</x:v>
      </x:c>
      <x:c r="B25" s="15" t="str">
        <x:v>/admin/subscriptions/:id/cancel</x:v>
      </x:c>
      <x:c r="C25" s="15" t="str">
        <x:v>Cancel subscription</x:v>
      </x:c>
      <x:c r="D25" s="15" t="str">
        <x:v>Core</x:v>
      </x:c>
      <x:c r="E25" s="15" t="str">
        <x:v>R6 source</x:v>
      </x:c>
    </x:row>
    <x:row r="26">
      <x:c r="A26" s="15" t="str">
        <x:v>GET</x:v>
      </x:c>
      <x:c r="B26" s="15" t="str">
        <x:v>/admin/qualifications/:qualificationId/ledger/pv</x:v>
      </x:c>
      <x:c r="C26" s="15" t="str">
        <x:v>PV ledger</x:v>
      </x:c>
      <x:c r="D26" s="15" t="str">
        <x:v>Core</x:v>
      </x:c>
      <x:c r="E26" s="15" t="str">
        <x:v>R6 source</x:v>
      </x:c>
    </x:row>
    <x:row r="27">
      <x:c r="A27" s="15" t="str">
        <x:v>GET</x:v>
      </x:c>
      <x:c r="B27" s="15" t="str">
        <x:v>/admin/qualifications/:qualificationId/ledger/balances</x:v>
      </x:c>
      <x:c r="C27" s="15" t="str">
        <x:v>Ledger balances</x:v>
      </x:c>
      <x:c r="D27" s="15" t="str">
        <x:v>Core</x:v>
      </x:c>
      <x:c r="E27" s="15" t="str">
        <x:v>R6 source</x:v>
      </x:c>
    </x:row>
    <x:row r="28">
      <x:c r="A28" s="15" t="str">
        <x:v>GET</x:v>
      </x:c>
      <x:c r="B28" s="15" t="str">
        <x:v>/admin/bonus/qualifications/:qualificationId/awards</x:v>
      </x:c>
      <x:c r="C28" s="15" t="str">
        <x:v>Bonus awards</x:v>
      </x:c>
      <x:c r="D28" s="15" t="str">
        <x:v>Core</x:v>
      </x:c>
      <x:c r="E28" s="15" t="str">
        <x:v>R6 source</x:v>
      </x:c>
    </x:row>
    <x:row r="29">
      <x:c r="A29" s="15" t="str">
        <x:v>POST</x:v>
      </x:c>
      <x:c r="B29" s="15" t="str">
        <x:v>/admin/bonus/settlements/referral</x:v>
      </x:c>
      <x:c r="C29" s="15" t="str">
        <x:v>Referral settlement</x:v>
      </x:c>
      <x:c r="D29" s="15" t="str">
        <x:v>Core</x:v>
      </x:c>
      <x:c r="E29" s="15" t="str">
        <x:v>R6 source</x:v>
      </x:c>
    </x:row>
    <x:row r="30">
      <x:c r="A30" s="15" t="str">
        <x:v>POST</x:v>
      </x:c>
      <x:c r="B30" s="15" t="str">
        <x:v>/admin/bonus/settlements/binary</x:v>
      </x:c>
      <x:c r="C30" s="15" t="str">
        <x:v>Binary settlement</x:v>
      </x:c>
      <x:c r="D30" s="15" t="str">
        <x:v>Core</x:v>
      </x:c>
      <x:c r="E30" s="15" t="str">
        <x:v>R6 source</x:v>
      </x:c>
    </x:row>
    <x:row r="31">
      <x:c r="A31" s="15" t="str">
        <x:v>POST</x:v>
      </x:c>
      <x:c r="B31" s="15" t="str">
        <x:v>/admin/bonus/settlements/matching</x:v>
      </x:c>
      <x:c r="C31" s="15" t="str">
        <x:v>Matching settlement</x:v>
      </x:c>
      <x:c r="D31" s="15" t="str">
        <x:v>Core</x:v>
      </x:c>
      <x:c r="E31" s="15" t="str">
        <x:v>R6 source</x:v>
      </x:c>
    </x:row>
    <x:row r="32">
      <x:c r="A32" s="15" t="str">
        <x:v>POST</x:v>
      </x:c>
      <x:c r="B32" s="15" t="str">
        <x:v>/admin/bonus/lifecycle/mature</x:v>
      </x:c>
      <x:c r="C32" s="15" t="str">
        <x:v>Mature awards</x:v>
      </x:c>
      <x:c r="D32" s="15" t="str">
        <x:v>Core</x:v>
      </x:c>
      <x:c r="E32" s="15" t="str">
        <x:v>R6 source</x:v>
      </x:c>
    </x:row>
    <x:row r="33">
      <x:c r="A33" s="15" t="str">
        <x:v>POST</x:v>
      </x:c>
      <x:c r="B33" s="15" t="str">
        <x:v>/admin/epv/orders/:orderId/recognize</x:v>
      </x:c>
      <x:c r="C33" s="15" t="str">
        <x:v>Recognize EPV</x:v>
      </x:c>
      <x:c r="D33" s="15" t="str">
        <x:v>Core</x:v>
      </x:c>
      <x:c r="E33" s="15" t="str">
        <x:v>R6 source</x:v>
      </x:c>
    </x:row>
    <x:row r="34">
      <x:c r="A34" s="15" t="str">
        <x:v>POST</x:v>
      </x:c>
      <x:c r="B34" s="15" t="str">
        <x:v>/admin/rpv/recognitions/:recognitionId/run</x:v>
      </x:c>
      <x:c r="C34" s="15" t="str">
        <x:v>Run RPV</x:v>
      </x:c>
      <x:c r="D34" s="15" t="str">
        <x:v>Core</x:v>
      </x:c>
      <x:c r="E34" s="15" t="str">
        <x:v>R6 source</x:v>
      </x:c>
    </x:row>
    <x:row r="35">
      <x:c r="A35" s="15" t="str">
        <x:v>GET</x:v>
      </x:c>
      <x:c r="B35" s="15" t="str">
        <x:v>/admin/rpv/recognitions/:recognitionId/awards</x:v>
      </x:c>
      <x:c r="C35" s="15" t="str">
        <x:v>RPV awards</x:v>
      </x:c>
      <x:c r="D35" s="15" t="str">
        <x:v>Core</x:v>
      </x:c>
      <x:c r="E35" s="15" t="str">
        <x:v>R6 source</x:v>
      </x:c>
    </x:row>
    <x:row r="36">
      <x:c r="A36" s="15" t="str">
        <x:v>POST</x:v>
      </x:c>
      <x:c r="B36" s="15" t="str">
        <x:v>/admin/pools/global/settle</x:v>
      </x:c>
      <x:c r="C36" s="15" t="str">
        <x:v>Settle global pool</x:v>
      </x:c>
      <x:c r="D36" s="15" t="str">
        <x:v>Core</x:v>
      </x:c>
      <x:c r="E36" s="15" t="str">
        <x:v>R6 source</x:v>
      </x:c>
    </x:row>
    <x:row r="37">
      <x:c r="A37" s="15" t="str">
        <x:v>POST</x:v>
      </x:c>
      <x:c r="B37" s="15" t="str">
        <x:v>/admin/pools/welfare/accrue</x:v>
      </x:c>
      <x:c r="C37" s="15" t="str">
        <x:v>Accrue welfare pool</x:v>
      </x:c>
      <x:c r="D37" s="15" t="str">
        <x:v>Core</x:v>
      </x:c>
      <x:c r="E37" s="15" t="str">
        <x:v>R6 source</x:v>
      </x:c>
    </x:row>
    <x:row r="38">
      <x:c r="A38" s="15" t="str">
        <x:v>POST</x:v>
      </x:c>
      <x:c r="B38" s="15" t="str">
        <x:v>/admin/settlement-adjustments/requests/:id/prepare</x:v>
      </x:c>
      <x:c r="C38" s="15" t="str">
        <x:v>Prepare adjustment</x:v>
      </x:c>
      <x:c r="D38" s="15" t="str">
        <x:v>Core</x:v>
      </x:c>
      <x:c r="E38" s="15" t="str">
        <x:v>R6 source</x:v>
      </x:c>
    </x:row>
    <x:row r="39">
      <x:c r="A39" s="15" t="str">
        <x:v>POST</x:v>
      </x:c>
      <x:c r="B39" s="15" t="str">
        <x:v>/admin/settlement-adjustments/requests/:id/calculate-and-post</x:v>
      </x:c>
      <x:c r="C39" s="15" t="str">
        <x:v>Calculate/post adjustment</x:v>
      </x:c>
      <x:c r="D39" s="15" t="str">
        <x:v>Core</x:v>
      </x:c>
      <x:c r="E39" s="15" t="str">
        <x:v>R6 source</x:v>
      </x:c>
    </x:row>
    <x:row r="40">
      <x:c r="A40" s="15" t="str">
        <x:v>POST</x:v>
      </x:c>
      <x:c r="B40" s="15" t="str">
        <x:v>/admin/replays/returns/:returnCaseId</x:v>
      </x:c>
      <x:c r="C40" s="15" t="str">
        <x:v>Carry-chain replay</x:v>
      </x:c>
      <x:c r="D40" s="15" t="str">
        <x:v>Core</x:v>
      </x:c>
      <x:c r="E40" s="15" t="str">
        <x:v>R6 source</x:v>
      </x:c>
    </x:row>
    <x:row r="41">
      <x:c r="A41" s="15" t="str">
        <x:v>POST</x:v>
      </x:c>
      <x:c r="B41" s="15" t="str">
        <x:v>/admin/qualification-workflows</x:v>
      </x:c>
      <x:c r="C41" s="15" t="str">
        <x:v>Submit workflow</x:v>
      </x:c>
      <x:c r="D41" s="15" t="str">
        <x:v>Core</x:v>
      </x:c>
      <x:c r="E41" s="15" t="str">
        <x:v>R6 source</x:v>
      </x:c>
    </x:row>
    <x:row r="42">
      <x:c r="A42" s="15" t="str">
        <x:v>POST</x:v>
      </x:c>
      <x:c r="B42" s="15" t="str">
        <x:v>/admin/qualification-workflows/:id/approve</x:v>
      </x:c>
      <x:c r="C42" s="15" t="str">
        <x:v>Approve workflow</x:v>
      </x:c>
      <x:c r="D42" s="15" t="str">
        <x:v>Core</x:v>
      </x:c>
      <x:c r="E42" s="15" t="str">
        <x:v>R6 source</x:v>
      </x:c>
    </x:row>
    <x:row r="43">
      <x:c r="A43" s="15" t="str">
        <x:v>POST</x:v>
      </x:c>
      <x:c r="B43" s="15" t="str">
        <x:v>/admin/payouts/materialize</x:v>
      </x:c>
      <x:c r="C43" s="15" t="str">
        <x:v>Materialize payable</x:v>
      </x:c>
      <x:c r="D43" s="15" t="str">
        <x:v>Core</x:v>
      </x:c>
      <x:c r="E43" s="15" t="str">
        <x:v>R6 source</x:v>
      </x:c>
    </x:row>
    <x:row r="44">
      <x:c r="A44" s="15" t="str">
        <x:v>POST</x:v>
      </x:c>
      <x:c r="B44" s="15" t="str">
        <x:v>/admin/payouts/batches</x:v>
      </x:c>
      <x:c r="C44" s="15" t="str">
        <x:v>Create payout batch</x:v>
      </x:c>
      <x:c r="D44" s="15" t="str">
        <x:v>Core</x:v>
      </x:c>
      <x:c r="E44" s="15" t="str">
        <x:v>R6 source</x:v>
      </x:c>
    </x:row>
    <x:row r="45">
      <x:c r="A45" s="15" t="str">
        <x:v>GET</x:v>
      </x:c>
      <x:c r="B45" s="15" t="str">
        <x:v>/admin/dashboard/summary</x:v>
      </x:c>
      <x:c r="C45" s="15" t="str">
        <x:v>Dashboard summary</x:v>
      </x:c>
      <x:c r="D45" s="15" t="str">
        <x:v>Core</x:v>
      </x:c>
      <x:c r="E45" s="15" t="str">
        <x:v>R6 source</x:v>
      </x:c>
    </x:row>
    <x:row r="46">
      <x:c r="A46" s="15" t="str">
        <x:v>GET</x:v>
      </x:c>
      <x:c r="B46" s="15" t="str">
        <x:v>/admin/membership-applications</x:v>
      </x:c>
      <x:c r="C46" s="15" t="str">
        <x:v>Application queue</x:v>
      </x:c>
      <x:c r="D46" s="15" t="str">
        <x:v>Core</x:v>
      </x:c>
      <x:c r="E46" s="15" t="str">
        <x:v>R6 source</x:v>
      </x:c>
    </x:row>
    <x:row r="47">
      <x:c r="A47" s="15" t="str">
        <x:v>GET</x:v>
      </x:c>
      <x:c r="B47" s="15" t="str">
        <x:v>/admin/qualifications</x:v>
      </x:c>
      <x:c r="C47" s="15" t="str">
        <x:v>Qualification search</x:v>
      </x:c>
      <x:c r="D47" s="15" t="str">
        <x:v>Core</x:v>
      </x:c>
      <x:c r="E47" s="15" t="str">
        <x:v>R6 source</x:v>
      </x:c>
    </x:row>
    <x:row r="48">
      <x:c r="A48" s="15" t="str">
        <x:v>GET</x:v>
      </x:c>
      <x:c r="B48" s="15" t="str">
        <x:v>/admin/orders</x:v>
      </x:c>
      <x:c r="C48" s="15" t="str">
        <x:v>Order search</x:v>
      </x:c>
      <x:c r="D48" s="15" t="str">
        <x:v>Core</x:v>
      </x:c>
      <x:c r="E48" s="15" t="str">
        <x:v>R6 source</x:v>
      </x:c>
    </x:row>
    <x:row r="49">
      <x:c r="A49" s="15" t="str">
        <x:v>GET</x:v>
      </x:c>
      <x:c r="B49" s="15" t="str">
        <x:v>/admin/organization/placement-preview</x:v>
      </x:c>
      <x:c r="C49" s="15" t="str">
        <x:v>Placement preview</x:v>
      </x:c>
      <x:c r="D49" s="15" t="str">
        <x:v>Core</x:v>
      </x:c>
      <x:c r="E49" s="15" t="str">
        <x:v>R6 source</x:v>
      </x:c>
    </x:row>
    <x:row r="50">
      <x:c r="A50" s="15" t="str">
        <x:v>GET</x:v>
      </x:c>
      <x:c r="B50" s="15" t="str">
        <x:v>/admin/observability/organization/sponsor-tree/:rootQualificationId</x:v>
      </x:c>
      <x:c r="C50" s="15" t="str">
        <x:v>Sponsor tree</x:v>
      </x:c>
      <x:c r="D50" s="15" t="str">
        <x:v>Core</x:v>
      </x:c>
      <x:c r="E50" s="15" t="str">
        <x:v>R6 source</x:v>
      </x:c>
    </x:row>
    <x:row r="51">
      <x:c r="A51" s="15" t="str">
        <x:v>GET</x:v>
      </x:c>
      <x:c r="B51" s="15" t="str">
        <x:v>/admin/observability/organization/binary-tree/:rootQualificationId</x:v>
      </x:c>
      <x:c r="C51" s="15" t="str">
        <x:v>Binary tree</x:v>
      </x:c>
      <x:c r="D51" s="15" t="str">
        <x:v>Core</x:v>
      </x:c>
      <x:c r="E51" s="15" t="str">
        <x:v>R6 source</x:v>
      </x:c>
    </x:row>
    <x:row r="52">
      <x:c r="A52" s="15" t="str">
        <x:v>GET</x:v>
      </x:c>
      <x:c r="B52" s="15" t="str">
        <x:v>/admin/observability/qualifications/:qualificationId/operations</x:v>
      </x:c>
      <x:c r="C52" s="15" t="str">
        <x:v>Qualification operations</x:v>
      </x:c>
      <x:c r="D52" s="15" t="str">
        <x:v>Core</x:v>
      </x:c>
      <x:c r="E52" s="15" t="str">
        <x:v>R6 source</x:v>
      </x:c>
    </x:row>
    <x:row r="53">
      <x:c r="A53" s="15" t="str">
        <x:v>GET</x:v>
      </x:c>
      <x:c r="B53" s="15" t="str">
        <x:v>/admin/observability/awards/:bonusAwardId</x:v>
      </x:c>
      <x:c r="C53" s="15" t="str">
        <x:v>Award drill-down</x:v>
      </x:c>
      <x:c r="D53" s="15" t="str">
        <x:v>Core</x:v>
      </x:c>
      <x:c r="E53" s="15" t="str">
        <x:v>R6 source</x:v>
      </x:c>
    </x:row>
    <x:row r="54">
      <x:c r="A54" s="15" t="str">
        <x:v>GET</x:v>
      </x:c>
      <x:c r="B54" s="15" t="str">
        <x:v>/admin/observability/settlements</x:v>
      </x:c>
      <x:c r="C54" s="15" t="str">
        <x:v>Settlement history</x:v>
      </x:c>
      <x:c r="D54" s="15" t="str">
        <x:v>Core</x:v>
      </x:c>
      <x:c r="E54" s="15" t="str">
        <x:v>R6 source</x:v>
      </x:c>
    </x:row>
    <x:row r="55">
      <x:c r="A55" s="15" t="str">
        <x:v>GET</x:v>
      </x:c>
      <x:c r="B55" s="15" t="str">
        <x:v>/admin/observability/pools</x:v>
      </x:c>
      <x:c r="C55" s="15" t="str">
        <x:v>Pool history</x:v>
      </x:c>
      <x:c r="D55" s="15" t="str">
        <x:v>Core</x:v>
      </x:c>
      <x:c r="E55" s="15" t="str">
        <x:v>R6 source</x:v>
      </x:c>
    </x:row>
    <x:row r="56">
      <x:c r="A56" s="15" t="str">
        <x:v>GET</x:v>
      </x:c>
      <x:c r="B56" s="15" t="str">
        <x:v>/admin/observability/compensation/summary</x:v>
      </x:c>
      <x:c r="C56" s="15" t="str">
        <x:v>Compensation summary</x:v>
      </x:c>
      <x:c r="D56" s="15" t="str">
        <x:v>Core</x:v>
      </x:c>
      <x:c r="E56" s="15" t="str">
        <x:v>R6 source</x:v>
      </x:c>
    </x:row>
    <x:row r="57">
      <x:c r="A57" s="15" t="str">
        <x:v>GET</x:v>
      </x:c>
      <x:c r="B57" s="15" t="str">
        <x:v>/admin/operations/returns</x:v>
      </x:c>
      <x:c r="C57" s="15" t="str">
        <x:v>Return queue</x:v>
      </x:c>
      <x:c r="D57" s="15" t="str">
        <x:v>Core</x:v>
      </x:c>
      <x:c r="E57" s="15" t="str">
        <x:v>R6 source</x:v>
      </x:c>
    </x:row>
    <x:row r="58">
      <x:c r="A58" s="15" t="str">
        <x:v>GET</x:v>
      </x:c>
      <x:c r="B58" s="15" t="str">
        <x:v>/admin/operations/returns/:id</x:v>
      </x:c>
      <x:c r="C58" s="15" t="str">
        <x:v>Return detail</x:v>
      </x:c>
      <x:c r="D58" s="15" t="str">
        <x:v>Core</x:v>
      </x:c>
      <x:c r="E58" s="15" t="str">
        <x:v>R6 source</x:v>
      </x:c>
    </x:row>
    <x:row r="59">
      <x:c r="A59" s="15" t="str">
        <x:v>GET</x:v>
      </x:c>
      <x:c r="B59" s="15" t="str">
        <x:v>/admin/operations/workflows</x:v>
      </x:c>
      <x:c r="C59" s="15" t="str">
        <x:v>Workflow queue</x:v>
      </x:c>
      <x:c r="D59" s="15" t="str">
        <x:v>Core</x:v>
      </x:c>
      <x:c r="E59" s="15" t="str">
        <x:v>R6 source</x:v>
      </x:c>
    </x:row>
    <x:row r="60">
      <x:c r="A60" s="15" t="str">
        <x:v>GET</x:v>
      </x:c>
      <x:c r="B60" s="15" t="str">
        <x:v>/admin/operations/workflows/:id</x:v>
      </x:c>
      <x:c r="C60" s="15" t="str">
        <x:v>Workflow detail</x:v>
      </x:c>
      <x:c r="D60" s="15" t="str">
        <x:v>Core</x:v>
      </x:c>
      <x:c r="E60" s="15" t="str">
        <x:v>R6 source</x:v>
      </x:c>
    </x:row>
    <x:row r="61">
      <x:c r="A61" s="15" t="str">
        <x:v>GET</x:v>
      </x:c>
      <x:c r="B61" s="15" t="str">
        <x:v>/admin/operations/recoveries</x:v>
      </x:c>
      <x:c r="C61" s="15" t="str">
        <x:v>Recovery aging</x:v>
      </x:c>
      <x:c r="D61" s="15" t="str">
        <x:v>Core</x:v>
      </x:c>
      <x:c r="E61" s="15" t="str">
        <x:v>R6 source</x:v>
      </x:c>
    </x:row>
    <x:row r="62">
      <x:c r="A62" s="15" t="str">
        <x:v>GET</x:v>
      </x:c>
      <x:c r="B62" s="15" t="str">
        <x:v>/admin/operations/payout-batches</x:v>
      </x:c>
      <x:c r="C62" s="15" t="str">
        <x:v>Payout queue</x:v>
      </x:c>
      <x:c r="D62" s="15" t="str">
        <x:v>Core</x:v>
      </x:c>
      <x:c r="E62" s="15" t="str">
        <x:v>R6 source</x:v>
      </x:c>
    </x:row>
    <x:row r="63">
      <x:c r="A63" s="15" t="str">
        <x:v>GET</x:v>
      </x:c>
      <x:c r="B63" s="15" t="str">
        <x:v>/admin/operations/payout-batches/:id</x:v>
      </x:c>
      <x:c r="C63" s="15" t="str">
        <x:v>Payout detail</x:v>
      </x:c>
      <x:c r="D63" s="15" t="str">
        <x:v>Core</x:v>
      </x:c>
      <x:c r="E63" s="15" t="str">
        <x:v>R6 source</x:v>
      </x:c>
    </x:row>
    <x:row r="64">
      <x:c r="A64" s="15" t="str">
        <x:v>POST</x:v>
      </x:c>
      <x:c r="B64" s="15" t="str">
        <x:v>/admin/operations/payout-batches/:id/approvals/:stage</x:v>
      </x:c>
      <x:c r="C64" s="15" t="str">
        <x:v>Payout dual approval</x:v>
      </x:c>
      <x:c r="D64" s="15" t="str">
        <x:v>Core</x:v>
      </x:c>
      <x:c r="E64" s="15" t="str">
        <x:v>R6 source</x:v>
      </x:c>
    </x:row>
    <x:row r="65">
      <x:c r="A65" s="15" t="str">
        <x:v>POST</x:v>
      </x:c>
      <x:c r="B65" s="15" t="str">
        <x:v>/admin/operations/payout-batches/:id/export</x:v>
      </x:c>
      <x:c r="C65" s="15" t="str">
        <x:v>Payout export record</x:v>
      </x:c>
      <x:c r="D65" s="15" t="str">
        <x:v>Core</x:v>
      </x:c>
      <x:c r="E65" s="15" t="str">
        <x:v>R6 source</x:v>
      </x:c>
    </x:row>
    <x:row r="66">
      <x:c r="A66" s="15" t="str">
        <x:v>POST</x:v>
      </x:c>
      <x:c r="B66" s="15" t="str">
        <x:v>/admin/operations/payout-batches/:id/mark-paid</x:v>
      </x:c>
      <x:c r="C66" s="15" t="str">
        <x:v>Payout reconciliation</x:v>
      </x:c>
      <x:c r="D66" s="15" t="str">
        <x:v>Core</x:v>
      </x:c>
      <x:c r="E66" s="15" t="str">
        <x:v>R6 source</x:v>
      </x:c>
    </x:row>
    <x:row r="67">
      <x:c r="A67" s="15" t="str">
        <x:v>POST</x:v>
      </x:c>
      <x:c r="B67" s="15" t="str">
        <x:v>/admin/ops-ready/attachments</x:v>
      </x:c>
      <x:c r="C67" s="15" t="str">
        <x:v>Register attachment metadata</x:v>
      </x:c>
      <x:c r="D67" s="15" t="str">
        <x:v>Core</x:v>
      </x:c>
      <x:c r="E67" s="15" t="str">
        <x:v>R6 source</x:v>
      </x:c>
    </x:row>
    <x:row r="68">
      <x:c r="A68" s="15" t="str">
        <x:v>GET</x:v>
      </x:c>
      <x:c r="B68" s="15" t="str">
        <x:v>/admin/ops-ready/attachments</x:v>
      </x:c>
      <x:c r="C68" s="15" t="str">
        <x:v>List attachments</x:v>
      </x:c>
      <x:c r="D68" s="15" t="str">
        <x:v>Core</x:v>
      </x:c>
      <x:c r="E68" s="15" t="str">
        <x:v>R6 source</x:v>
      </x:c>
    </x:row>
    <x:row r="69">
      <x:c r="A69" s="15" t="str">
        <x:v>GET</x:v>
      </x:c>
      <x:c r="B69" s="15" t="str">
        <x:v>/admin/ops-ready/audit-events</x:v>
      </x:c>
      <x:c r="C69" s="15" t="str">
        <x:v>Audit search</x:v>
      </x:c>
      <x:c r="D69" s="15" t="str">
        <x:v>Core</x:v>
      </x:c>
      <x:c r="E69" s="15" t="str">
        <x:v>R6 source</x:v>
      </x:c>
    </x:row>
    <x:row r="70">
      <x:c r="A70" s="15" t="str">
        <x:v>GET</x:v>
      </x:c>
      <x:c r="B70" s="15" t="str">
        <x:v>/admin/ops-ready/reports/operations</x:v>
      </x:c>
      <x:c r="C70" s="15" t="str">
        <x:v>Operations report</x:v>
      </x:c>
      <x:c r="D70" s="15" t="str">
        <x:v>Core</x:v>
      </x:c>
      <x:c r="E70" s="15" t="str">
        <x:v>R6 source</x:v>
      </x:c>
    </x:row>
    <x:row r="71">
      <x:c r="A71" s="15" t="str">
        <x:v>GET</x:v>
      </x:c>
      <x:c r="B71" s="15" t="str">
        <x:v>/admin/ops-ready/integrity-alerts</x:v>
      </x:c>
      <x:c r="C71" s="15" t="str">
        <x:v>Integrity alerts</x:v>
      </x:c>
      <x:c r="D71" s="15" t="str">
        <x:v>Core</x:v>
      </x:c>
      <x:c r="E71" s="15" t="str">
        <x:v>R6 source</x:v>
      </x:c>
    </x:row>
    <x:row r="72">
      <x:c r="A72" s="15" t="str">
        <x:v>GET</x:v>
      </x:c>
      <x:c r="B72" s="15" t="str">
        <x:v>/admin/ops-ready/exports/:dataset</x:v>
      </x:c>
      <x:c r="C72" s="15" t="str">
        <x:v>CSV export</x:v>
      </x:c>
      <x:c r="D72" s="15" t="str">
        <x:v>Core</x:v>
      </x:c>
      <x:c r="E72" s="15" t="str">
        <x:v>R6 source</x:v>
      </x:c>
    </x:row>
    <x:row r="73">
      <x:c r="A73" s="15" t="str">
        <x:v>POST</x:v>
      </x:c>
      <x:c r="B73" s="15" t="str">
        <x:v>/auth/admin/entra/exchange</x:v>
      </x:c>
      <x:c r="C73" s="15" t="str">
        <x:v>Admin Entra exchange</x:v>
      </x:c>
      <x:c r="D73" s="15" t="str">
        <x:v>Core</x:v>
      </x:c>
      <x:c r="E73" s="15" t="str">
        <x:v>R6 source</x:v>
      </x:c>
    </x:row>
    <x:row r="74">
      <x:c r="A74" s="15" t="str">
        <x:v>GET</x:v>
      </x:c>
      <x:c r="B74" s="15" t="str">
        <x:v>/auth/admin/me</x:v>
      </x:c>
      <x:c r="C74" s="15" t="str">
        <x:v>Admin session me</x:v>
      </x:c>
      <x:c r="D74" s="15" t="str">
        <x:v>Core</x:v>
      </x:c>
      <x:c r="E74" s="15" t="str">
        <x:v>R6 source</x:v>
      </x:c>
    </x:row>
    <x:row r="75">
      <x:c r="A75" s="15" t="str">
        <x:v>POST</x:v>
      </x:c>
      <x:c r="B75" s="15" t="str">
        <x:v>/auth/admin/logout</x:v>
      </x:c>
      <x:c r="C75" s="15" t="str">
        <x:v>Admin logout</x:v>
      </x:c>
      <x:c r="D75" s="15" t="str">
        <x:v>Core</x:v>
      </x:c>
      <x:c r="E75" s="15" t="str">
        <x:v>R6 source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8" hidden="0" customWidth="1"/>
    <x:col min="4" max="4" width="42" hidden="0" customWidth="1"/>
  </x:cols>
  <x:sheetData>
    <x:row r="1">
      <x:c r="A1" s="14" t="str">
        <x:v>Domain</x:v>
      </x:c>
      <x:c r="B1" s="14" t="str">
        <x:v>Entities</x:v>
      </x:c>
      <x:c r="C1" s="14" t="str">
        <x:v>責任</x:v>
      </x:c>
      <x:c r="D1" s="14" t="str">
        <x:v>Invariant/Boundary</x:v>
      </x:c>
    </x:row>
    <x:row r="2">
      <x:c r="A2" s="15" t="str">
        <x:v>Identity</x:v>
      </x:c>
      <x:c r="B2" s="15" t="str">
        <x:v>Person</x:v>
      </x:c>
      <x:c r="C2" s="15" t="str">
        <x:v>自然人；一人可多球</x:v>
      </x:c>
      <x:c r="D2" s="15" t="str">
        <x:v>不可與Qualification合併</x:v>
      </x:c>
    </x:row>
    <x:row r="3">
      <x:c r="A3" s="15" t="str">
        <x:v>Identity</x:v>
      </x:c>
      <x:c r="B3" s="15" t="str">
        <x:v>IdentityLink/AuthSession/AdminAccessGrant</x:v>
      </x:c>
      <x:c r="C3" s="15" t="str">
        <x:v>登入映射、短效Session、Admin allow-list</x:v>
      </x:c>
      <x:c r="D3" s="15" t="str">
        <x:v>Grant歷史保留；角色改變新建Grant</x:v>
      </x:c>
    </x:row>
    <x:row r="4">
      <x:c r="A4" s="15" t="str">
        <x:v>Membership</x:v>
      </x:c>
      <x:c r="B4" s="15" t="str">
        <x:v>MembershipApplication</x:v>
      </x:c>
      <x:c r="C4" s="15" t="str">
        <x:v>申請Draft/Submit/Approve</x:v>
      </x:c>
      <x:c r="D4" s="15" t="str">
        <x:v>Approve建立Qualification</x:v>
      </x:c>
    </x:row>
    <x:row r="5">
      <x:c r="A5" s="15" t="str">
        <x:v>Membership</x:v>
      </x:c>
      <x:c r="B5" s="15" t="str">
        <x:v>Qualification</x:v>
      </x:c>
      <x:c r="C5" s="15" t="str">
        <x:v>制度計算Aggregate</x:v>
      </x:c>
      <x:c r="D5" s="15" t="str">
        <x:v>轉讓時ID不變</x:v>
      </x:c>
    </x:row>
    <x:row r="6">
      <x:c r="A6" s="15" t="str">
        <x:v>Membership</x:v>
      </x:c>
      <x:c r="B6" s="15" t="str">
        <x:v>HolderHistory/StatusHistory/ActivePeriod</x:v>
      </x:c>
      <x:c r="C6" s="15" t="str">
        <x:v>Temporal state</x:v>
      </x:c>
      <x:c r="D6" s="15" t="str">
        <x:v>歷史判斷不可用今日旗標回算</x:v>
      </x:c>
    </x:row>
    <x:row r="7">
      <x:c r="A7" s="15" t="str">
        <x:v>Organization</x:v>
      </x:c>
      <x:c r="B7" s="15" t="str">
        <x:v>SponsorRelationship</x:v>
      </x:c>
      <x:c r="C7" s="15" t="str">
        <x:v>推薦樹</x:v>
      </x:c>
      <x:c r="D7" s="15" t="str">
        <x:v>與Binary獨立</x:v>
      </x:c>
    </x:row>
    <x:row r="8">
      <x:c r="A8" s="15" t="str">
        <x:v>Organization</x:v>
      </x:c>
      <x:c r="B8" s="15" t="str">
        <x:v>BinaryPlacement</x:v>
      </x:c>
      <x:c r="C8" s="15" t="str">
        <x:v>二元安置樹</x:v>
      </x:c>
      <x:c r="D8" s="15" t="str">
        <x:v>parent+side current child唯一</x:v>
      </x:c>
    </x:row>
    <x:row r="9">
      <x:c r="A9" s="15" t="str">
        <x:v>Commerce</x:v>
      </x:c>
      <x:c r="B9" s="15" t="str">
        <x:v>ProductReference/Order/Payment/Return</x:v>
      </x:c>
      <x:c r="C9" s="15" t="str">
        <x:v>Pre-ERP bridge</x:v>
      </x:c>
      <x:c r="D9" s="15" t="str">
        <x:v>未來D365 BC Adapter</x:v>
      </x:c>
    </x:row>
    <x:row r="10">
      <x:c r="A10" s="15" t="str">
        <x:v>Subscription</x:v>
      </x:c>
      <x:c r="B10" s="15" t="str">
        <x:v>Subscription/MonthlyRecognitionSchedule</x:v>
      </x:c>
      <x:c r="C10" s="15" t="str">
        <x:v>季半年年逐月認列</x:v>
      </x:c>
      <x:c r="D10" s="15" t="str">
        <x:v>3/6/12 schedule</x:v>
      </x:c>
    </x:row>
    <x:row r="11">
      <x:c r="A11" s="15" t="str">
        <x:v>Ledger</x:v>
      </x:c>
      <x:c r="B11" s="15" t="str">
        <x:v>PvLedger</x:v>
      </x:c>
      <x:c r="C11" s="15" t="str">
        <x:v>GPV/PV/RPV/EPV/Reversal</x:v>
      </x:c>
      <x:c r="D11" s="15" t="str">
        <x:v>Append-only</x:v>
      </x:c>
    </x:row>
    <x:row r="12">
      <x:c r="A12" s="15" t="str">
        <x:v>Compensation</x:v>
      </x:c>
      <x:c r="B12" s="15" t="str">
        <x:v>BonusAward/Lifecycle</x:v>
      </x:c>
      <x:c r="C12" s="15" t="str">
        <x:v>Theory/K/Payable/eligibility</x:v>
      </x:c>
      <x:c r="D12" s="15" t="str">
        <x:v>45D lifecycle</x:v>
      </x:c>
    </x:row>
    <x:row r="13">
      <x:c r="A13" s="15" t="str">
        <x:v>Settlement</x:v>
      </x:c>
      <x:c r="B13" s="15" t="str">
        <x:v>SettlementBatch/BinaryCarry</x:v>
      </x:c>
      <x:c r="C13" s="15" t="str">
        <x:v>K0/K1/K2/Carry</x:v>
      </x:c>
      <x:c r="D13" s="15" t="str">
        <x:v>不可覆寫歷史</x:v>
      </x:c>
    </x:row>
    <x:row r="14">
      <x:c r="A14" s="15" t="str">
        <x:v>Recovery</x:v>
      </x:c>
      <x:c r="B14" s="15" t="str">
        <x:v>BonusRecoveryEvent</x:v>
      </x:c>
      <x:c r="C14" s="15" t="str">
        <x:v>Clawback outstanding/recovered</x:v>
      </x:c>
      <x:c r="D14" s="15" t="str">
        <x:v>Partial recovery invariant</x:v>
      </x:c>
    </x:row>
    <x:row r="15">
      <x:c r="A15" s="15" t="str">
        <x:v>Payout</x:v>
      </x:c>
      <x:c r="B15" s="15" t="str">
        <x:v>PayableEntry/PayoutBatch/Line/Approval</x:v>
      </x:c>
      <x:c r="C15" s="15" t="str">
        <x:v>Qualification-first付款</x:v>
      </x:c>
      <x:c r="D15" s="15" t="str">
        <x:v>雙Actor核准</x:v>
      </x:c>
    </x:row>
    <x:row r="16">
      <x:c r="A16" s="15" t="str">
        <x:v>Audit</x:v>
      </x:c>
      <x:c r="B16" s="15" t="str">
        <x:v>AuditEvent/DocumentAttachment</x:v>
      </x:c>
      <x:c r="C16" s="15" t="str">
        <x:v>稽核/文件Hash/版本</x:v>
      </x:c>
      <x:c r="D16" s="15" t="str">
        <x:v>No physical delete</x:v>
      </x:c>
    </x:row>
    <x:row r="17">
      <x:c r="A17" s="15" t="str">
        <x:v>Integration</x:v>
      </x:c>
      <x:c r="B17" s="15" t="str">
        <x:v>Outbox/Idempotency</x:v>
      </x:c>
      <x:c r="C17" s="15" t="str">
        <x:v>事件一致、防重</x:v>
      </x:c>
      <x:c r="D17" s="15" t="str">
        <x:v>外部不得直寫Ledger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0" hidden="0" customWidth="1"/>
    <x:col min="4" max="4" width="44" hidden="0" customWidth="1"/>
    <x:col min="5" max="5" width="48" hidden="0" customWidth="1"/>
  </x:cols>
  <x:sheetData>
    <x:row r="1">
      <x:c r="A1" s="14" t="str">
        <x:v>id</x:v>
      </x:c>
      <x:c r="B1" s="14" t="str">
        <x:v>priority</x:v>
      </x:c>
      <x:c r="C1" s="14" t="str">
        <x:v>area</x:v>
      </x:c>
      <x:c r="D1" s="14" t="str">
        <x:v>scenario</x:v>
      </x:c>
      <x:c r="E1" s="14" t="str">
        <x:v>expected</x:v>
      </x:c>
    </x:row>
    <x:row r="2">
      <x:c r="A2" s="15" t="str">
        <x:v>UAT-R6-001</x:v>
      </x:c>
      <x:c r="B2" s="15" t="str">
        <x:v>P0</x:v>
      </x:c>
      <x:c r="C2" s="15" t="str">
        <x:v>Membership</x:v>
      </x:c>
      <x:c r="D2" s="15" t="str">
        <x:v>Create Person → Application → placement preview → Submit → Approve</x:v>
      </x:c>
      <x:c r="E2" s="15" t="str">
        <x:v>One Qualification; Sponsor/Binary exactly once; audit trace complete</x:v>
      </x:c>
    </x:row>
    <x:row r="3">
      <x:c r="A3" s="15" t="str">
        <x:v>UAT-R6-002</x:v>
      </x:c>
      <x:c r="B3" s="15" t="str">
        <x:v>P0</x:v>
      </x:c>
      <x:c r="C3" s="15" t="str">
        <x:v>Sponsor Rule</x:v>
      </x:c>
      <x:c r="D3" s="15" t="str">
        <x:v>First direct attempts right/non-left subtree placement</x:v>
      </x:c>
      <x:c r="E3" s="15" t="str">
        <x:v>API rejects; DB trigger rejects direct SQL bypass</x:v>
      </x:c>
    </x:row>
    <x:row r="4">
      <x:c r="A4" s="15" t="str">
        <x:v>UAT-R6-003</x:v>
      </x:c>
      <x:c r="B4" s="15" t="str">
        <x:v>P0</x:v>
      </x:c>
      <x:c r="C4" s="15" t="str">
        <x:v>Sponsor Rule</x:v>
      </x:c>
      <x:c r="D4" s="15" t="str">
        <x:v>Third direct attempts right/non-left subtree placement</x:v>
      </x:c>
      <x:c r="E4" s="15" t="str">
        <x:v>API rejects; DB trigger rejects direct SQL bypass</x:v>
      </x:c>
    </x:row>
    <x:row r="5">
      <x:c r="A5" s="15" t="str">
        <x:v>UAT-R6-004</x:v>
      </x:c>
      <x:c r="B5" s="15" t="str">
        <x:v>P0</x:v>
      </x:c>
      <x:c r="C5" s="15" t="str">
        <x:v>Order/GPV</x:v>
      </x:c>
      <x:c r="D5" s="15" t="str">
        <x:v>ENTRY Order → Payment Confirmed → worker</x:v>
      </x:c>
      <x:c r="E5" s="15" t="str">
        <x:v>GPV_CREATED exactly once; no duplicate on retry</x:v>
      </x:c>
    </x:row>
    <x:row r="6">
      <x:c r="A6" s="15" t="str">
        <x:v>UAT-R6-005</x:v>
      </x:c>
      <x:c r="B6" s="15" t="str">
        <x:v>P0</x:v>
      </x:c>
      <x:c r="C6" s="15" t="str">
        <x:v>Active</x:v>
      </x:c>
      <x:c r="D6" s="15" t="str">
        <x:v>Qualification active period starts/expires</x:v>
      </x:c>
      <x:c r="E6" s="15" t="str">
        <x:v>Award eligibility follows event-time Active state</x:v>
      </x:c>
    </x:row>
    <x:row r="7">
      <x:c r="A7" s="15" t="str">
        <x:v>UAT-R6-006</x:v>
      </x:c>
      <x:c r="B7" s="15" t="str">
        <x:v>P0</x:v>
      </x:c>
      <x:c r="C7" s="15" t="str">
        <x:v>Upgrade</x:v>
      </x:c>
      <x:c r="D7" s="15" t="str">
        <x:v>Upgrade after NT$600 confirmation</x:v>
      </x:c>
      <x:c r="E7" s="15" t="str">
        <x:v>Future-effective PlanHistory; prior award snapshots unchanged</x:v>
      </x:c>
    </x:row>
    <x:row r="8">
      <x:c r="A8" s="15" t="str">
        <x:v>UAT-R6-007</x:v>
      </x:c>
      <x:c r="B8" s="15" t="str">
        <x:v>P0</x:v>
      </x:c>
      <x:c r="C8" s="15" t="str">
        <x:v>Transfer</x:v>
      </x:c>
      <x:c r="D8" s="15" t="str">
        <x:v>Transfer holder</x:v>
      </x:c>
      <x:c r="E8" s="15" t="str">
        <x:v>Qualification ID/Sponsor/Binary remain unchanged; HolderHistory updated</x:v>
      </x:c>
    </x:row>
    <x:row r="9">
      <x:c r="A9" s="15" t="str">
        <x:v>UAT-R6-008</x:v>
      </x:c>
      <x:c r="B9" s="15" t="str">
        <x:v>P0</x:v>
      </x:c>
      <x:c r="C9" s="15" t="str">
        <x:v>Exit</x:v>
      </x:c>
      <x:c r="D9" s="15" t="str">
        <x:v>Exit to company holder</x:v>
      </x:c>
      <x:c r="E9" s="15" t="str">
        <x:v>Qualification closed/company-held; later retransfer allowed by workflow</x:v>
      </x:c>
    </x:row>
    <x:row r="10">
      <x:c r="A10" s="15" t="str">
        <x:v>UAT-R6-009</x:v>
      </x:c>
      <x:c r="B10" s="15" t="str">
        <x:v>P0</x:v>
      </x:c>
      <x:c r="C10" s="15" t="str">
        <x:v>Return</x:v>
      </x:c>
      <x:c r="D10" s="15" t="str">
        <x:v>Partial return after settlement</x:v>
      </x:c>
      <x:c r="E10" s="15" t="str">
        <x:v>GPV reversal, Recovery, recalculation/replay all exact</x:v>
      </x:c>
    </x:row>
    <x:row r="11">
      <x:c r="A11" s="15" t="str">
        <x:v>UAT-R6-010</x:v>
      </x:c>
      <x:c r="B11" s="15" t="str">
        <x:v>P0</x:v>
      </x:c>
      <x:c r="C11" s="15" t="str">
        <x:v>Recovery</x:v>
      </x:c>
      <x:c r="D11" s="15" t="str">
        <x:v>Recovery spans 3 payout batches</x:v>
      </x:c>
      <x:c r="E11" s="15" t="str">
        <x:v>Partial offsets deterministic; outstanding reaches zero only once</x:v>
      </x:c>
    </x:row>
    <x:row r="12">
      <x:c r="A12" s="15" t="str">
        <x:v>UAT-R6-011</x:v>
      </x:c>
      <x:c r="B12" s="15" t="str">
        <x:v>P0</x:v>
      </x:c>
      <x:c r="C12" s="15" t="str">
        <x:v>Payout</x:v>
      </x:c>
      <x:c r="D12" s="15" t="str">
        <x:v>Same actor tries Finance+Compliance approval</x:v>
      </x:c>
      <x:c r="E12" s="15" t="str">
        <x:v>Second stage rejected</x:v>
      </x:c>
    </x:row>
    <x:row r="13">
      <x:c r="A13" s="15" t="str">
        <x:v>UAT-R6-012</x:v>
      </x:c>
      <x:c r="B13" s="15" t="str">
        <x:v>P0</x:v>
      </x:c>
      <x:c r="C13" s="15" t="str">
        <x:v>Payout</x:v>
      </x:c>
      <x:c r="D13" s="15" t="str">
        <x:v>Two actors approve → export → reconcile paid</x:v>
      </x:c>
      <x:c r="E13" s="15" t="str">
        <x:v>Batch PAID; Payable entries PAID; audit refs preserved</x:v>
      </x:c>
    </x:row>
    <x:row r="14">
      <x:c r="A14" s="15" t="str">
        <x:v>UAT-R6-013</x:v>
      </x:c>
      <x:c r="B14" s="15" t="str">
        <x:v>P0</x:v>
      </x:c>
      <x:c r="C14" s="15" t="str">
        <x:v>Auth</x:v>
      </x:c>
      <x:c r="D14" s="15" t="str">
        <x:v>No bearer calls /admin endpoint</x:v>
      </x:c>
      <x:c r="E14" s="15" t="str">
        <x:v>401</x:v>
      </x:c>
    </x:row>
    <x:row r="15">
      <x:c r="A15" s="15" t="str">
        <x:v>UAT-R6-014</x:v>
      </x:c>
      <x:c r="B15" s="15" t="str">
        <x:v>P0</x:v>
      </x:c>
      <x:c r="C15" s="15" t="str">
        <x:v>Auth</x:v>
      </x:c>
      <x:c r="D15" s="15" t="str">
        <x:v>Expired/revoked backend session</x:v>
      </x:c>
      <x:c r="E15" s="15" t="str">
        <x:v>401</x:v>
      </x:c>
    </x:row>
    <x:row r="16">
      <x:c r="A16" s="15" t="str">
        <x:v>UAT-R6-015</x:v>
      </x:c>
      <x:c r="B16" s="15" t="str">
        <x:v>P0</x:v>
      </x:c>
      <x:c r="C16" s="15" t="str">
        <x:v>Auth</x:v>
      </x:c>
      <x:c r="D16" s="15" t="str">
        <x:v>Valid Entra user without AdminAccessGrant</x:v>
      </x:c>
      <x:c r="E16" s="15" t="str">
        <x:v>Exchange rejected</x:v>
      </x:c>
    </x:row>
    <x:row r="17">
      <x:c r="A17" s="15" t="str">
        <x:v>UAT-R6-016</x:v>
      </x:c>
      <x:c r="B17" s="15" t="str">
        <x:v>P0</x:v>
      </x:c>
      <x:c r="C17" s="15" t="str">
        <x:v>Auth</x:v>
      </x:c>
      <x:c r="D17" s="15" t="str">
        <x:v>Entra token wrong tenant/audience/signature</x:v>
      </x:c>
      <x:c r="E17" s="15" t="str">
        <x:v>Exchange rejected</x:v>
      </x:c>
    </x:row>
    <x:row r="18">
      <x:c r="A18" s="15" t="str">
        <x:v>UAT-R6-017</x:v>
      </x:c>
      <x:c r="B18" s="15" t="str">
        <x:v>P0</x:v>
      </x:c>
      <x:c r="C18" s="15" t="str">
        <x:v>RBAC</x:v>
      </x:c>
      <x:c r="D18" s="15" t="str">
        <x:v>MEMBERSHIP_OPS calls payout endpoint</x:v>
      </x:c>
      <x:c r="E18" s="15" t="str">
        <x:v>403</x:v>
      </x:c>
    </x:row>
    <x:row r="19">
      <x:c r="A19" s="15" t="str">
        <x:v>UAT-R6-018</x:v>
      </x:c>
      <x:c r="B19" s="15" t="str">
        <x:v>P0</x:v>
      </x:c>
      <x:c r="C19" s="15" t="str">
        <x:v>RBAC</x:v>
      </x:c>
      <x:c r="D19" s="15" t="str">
        <x:v>FINANCE calls workflow approval endpoint</x:v>
      </x:c>
      <x:c r="E19" s="15" t="str">
        <x:v>403</x:v>
      </x:c>
    </x:row>
    <x:row r="20">
      <x:c r="A20" s="15" t="str">
        <x:v>UAT-R6-019</x:v>
      </x:c>
      <x:c r="B20" s="15" t="str">
        <x:v>P0</x:v>
      </x:c>
      <x:c r="C20" s="15" t="str">
        <x:v>Security</x:v>
      </x:c>
      <x:c r="D20" s="15" t="str">
        <x:v>ADMIN_AUTH_BYPASS=true with NODE_ENV=production</x:v>
      </x:c>
      <x:c r="E20" s="15" t="str">
        <x:v>Bearer still required</x:v>
      </x:c>
    </x:row>
    <x:row r="21">
      <x:c r="A21" s="15" t="str">
        <x:v>UAT-R6-020</x:v>
      </x:c>
      <x:c r="B21" s="15" t="str">
        <x:v>P0</x:v>
      </x:c>
      <x:c r="C21" s="15" t="str">
        <x:v>Integrity</x:v>
      </x:c>
      <x:c r="D21" s="15" t="str">
        <x:v>Recovery arithmetic mismatch injected in isolated DB</x:v>
      </x:c>
      <x:c r="E21" s="15" t="str">
        <x:v>CRITICAL alert emitted; no auto-repair</x:v>
      </x:c>
    </x:row>
    <x:row r="22">
      <x:c r="A22" s="15" t="str">
        <x:v>UAT-R6-021</x:v>
      </x:c>
      <x:c r="B22" s="15" t="str">
        <x:v>P0</x:v>
      </x:c>
      <x:c r="C22" s="15" t="str">
        <x:v>Integrity</x:v>
      </x:c>
      <x:c r="D22" s="15" t="str">
        <x:v>Payout net mismatch injected in isolated DB</x:v>
      </x:c>
      <x:c r="E22" s="15" t="str">
        <x:v>CRITICAL alert emitted</x:v>
      </x:c>
    </x:row>
    <x:row r="23">
      <x:c r="A23" s="15" t="str">
        <x:v>UAT-R6-022</x:v>
      </x:c>
      <x:c r="B23" s="15" t="str">
        <x:v>P1</x:v>
      </x:c>
      <x:c r="C23" s="15" t="str">
        <x:v>Audit</x:v>
      </x:c>
      <x:c r="D23" s="15" t="str">
        <x:v>Trace return/replay/payout via correlation ID</x:v>
      </x:c>
      <x:c r="E23" s="15" t="str">
        <x:v>All correlated audit records retrievable</x:v>
      </x:c>
    </x:row>
    <x:row r="24">
      <x:c r="A24" s="15" t="str">
        <x:v>UAT-R6-023</x:v>
      </x:c>
      <x:c r="B24" s="15" t="str">
        <x:v>P1</x:v>
      </x:c>
      <x:c r="C24" s="15" t="str">
        <x:v>Documents</x:v>
      </x:c>
      <x:c r="D24" s="15" t="str">
        <x:v>Supersede original application PDF metadata</x:v>
      </x:c>
      <x:c r="E24" s="15" t="str">
        <x:v>v1 SUPERSEDED, v2 ACTIVE, v1 retained</x:v>
      </x:c>
    </x:row>
    <x:row r="25">
      <x:c r="A25" s="15" t="str">
        <x:v>UAT-R6-024</x:v>
      </x:c>
      <x:c r="B25" s="15" t="str">
        <x:v>P1</x:v>
      </x:c>
      <x:c r="C25" s="15" t="str">
        <x:v>CSV</x:v>
      </x:c>
      <x:c r="D25" s="15" t="str">
        <x:v>Export max dataset</x:v>
      </x:c>
      <x:c r="E25" s="15" t="str">
        <x:v>UTF-8 BOM CSV; ≤10,000 rows; values quoted</x:v>
      </x:c>
    </x:row>
    <x:row r="26">
      <x:c r="A26" s="15" t="str">
        <x:v>UAT-R6-025</x:v>
      </x:c>
      <x:c r="B26" s="15" t="str">
        <x:v>P1</x:v>
      </x:c>
      <x:c r="C26" s="15" t="str">
        <x:v>Session</x:v>
      </x:c>
      <x:c r="D26" s="15" t="str">
        <x:v>Logout then replay same backend token</x:v>
      </x:c>
      <x:c r="E26" s="15" t="str">
        <x:v>401</x:v>
      </x:c>
    </x:row>
    <x:row r="27">
      <x:c r="A27" s="15" t="str">
        <x:v>UAT-R6-026</x:v>
      </x:c>
      <x:c r="B27" s="15" t="str">
        <x:v>P1</x:v>
      </x:c>
      <x:c r="C27" s="15" t="str">
        <x:v>Concurrency</x:v>
      </x:c>
      <x:c r="D27" s="15" t="str">
        <x:v>Double-click application approve</x:v>
      </x:c>
      <x:c r="E27" s="15" t="str">
        <x:v>Single qualification / no duplicate sponsor sequence</x:v>
      </x:c>
    </x:row>
    <x:row r="28">
      <x:c r="A28" s="15" t="str">
        <x:v>UAT-R6-027</x:v>
      </x:c>
      <x:c r="B28" s="15" t="str">
        <x:v>P1</x:v>
      </x:c>
      <x:c r="C28" s="15" t="str">
        <x:v>Concurrency</x:v>
      </x:c>
      <x:c r="D28" s="15" t="str">
        <x:v>Double payment confirmation</x:v>
      </x:c>
      <x:c r="E28" s="15" t="str">
        <x:v>One payment business effect / one GPV event</x:v>
      </x:c>
    </x:row>
    <x:row r="29">
      <x:c r="A29" s="15" t="str">
        <x:v>UAT-R6-028</x:v>
      </x:c>
      <x:c r="B29" s="15" t="str">
        <x:v>P1</x:v>
      </x:c>
      <x:c r="C29" s="15" t="str">
        <x:v>Replay</x:v>
      </x:c>
      <x:c r="D29" s="15" t="str">
        <x:v>Run same return reversal/replay twice</x:v>
      </x:c>
      <x:c r="E29" s="15" t="str">
        <x:v>No duplicate recovery; deterministic replay state</x:v>
      </x:c>
    </x:row>
    <x:row r="30">
      <x:c r="A30" s="15" t="str">
        <x:v>UAT-R6-029</x:v>
      </x:c>
      <x:c r="B30" s="15" t="str">
        <x:v>P1</x:v>
      </x:c>
      <x:c r="C30" s="15" t="str">
        <x:v>Backup</x:v>
      </x:c>
      <x:c r="D30" s="15" t="str">
        <x:v>Backup/restore staging database</x:v>
      </x:c>
      <x:c r="E30" s="15" t="str">
        <x:v>Counts/checksums/integrity alerts match pre-backup state</x:v>
      </x:c>
    </x:row>
    <x:row r="31">
      <x:c r="A31" s="15" t="str">
        <x:v>UAT-R6-030</x:v>
      </x:c>
      <x:c r="B31" s="15" t="str">
        <x:v>P1</x:v>
      </x:c>
      <x:c r="C31" s="15" t="str">
        <x:v>Observability</x:v>
      </x:c>
      <x:c r="D31" s="15" t="str">
        <x:v>Sponsor/Binary historical `at` query</x:v>
      </x:c>
      <x:c r="E31" s="15" t="str">
        <x:v>Historical edge validity correct and trees stay separate</x:v>
      </x:c>
    </x:row>
  </x:sheetData>
  <x:pageMargins left="0.7" right="0.7" top="0.75" bottom="0.75" header="0.3" footer="0.3"/>
  <x:tableParts count="1">
    <x:tablePart xmlns:r="http://schemas.openxmlformats.org/officeDocument/2006/relationships" r:id="Rb732c36d3aa6467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1" t="str">
        <x:v>UCell R1.0B｜SA × 系統功能 × AI 核心 × Release Readiness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9" t="str">
        <x:v>RC1 Review Date</x:v>
      </x:c>
      <x:c r="B3" t="str">
        <x:v>2026-09-10</x:v>
      </x:c>
    </x:row>
    <x:row r="4">
      <x:c r="A4" s="29" t="str">
        <x:v>Rule Version</x:v>
      </x:c>
      <x:c r="B4" t="str">
        <x:v>R1.0B FROZEN</x:v>
      </x:c>
    </x:row>
    <x:row r="5">
      <x:c r="A5" s="29" t="str">
        <x:v>Backend</x:v>
      </x:c>
      <x:c r="B5" t="str">
        <x:v>v0.6.10-R6 Release Preparation</x:v>
      </x:c>
    </x:row>
    <x:row r="6">
      <x:c r="A6" s="29" t="str">
        <x:v>Admin</x:v>
      </x:c>
      <x:c r="B6" t="str">
        <x:v>v0.6.0 Release Preparation</x:v>
      </x:c>
    </x:row>
    <x:row r="8">
      <x:c r="A8" s="26" t="str">
        <x:v>SA Status</x:v>
      </x:c>
      <x:c r="B8" s="26" t="str">
        <x:v>Count</x:v>
      </x:c>
      <x:c r="D8" s="26" t="str">
        <x:v>Release Gate Status</x:v>
      </x:c>
      <x:c r="E8" s="26" t="str">
        <x:v>Count</x:v>
      </x:c>
    </x:row>
    <x:row r="9">
      <x:c r="A9" s="12" t="str">
        <x:v>Implemented</x:v>
      </x:c>
      <x:c r="B9" s="12" t="n">
        <x:f>COUNTIF(SA_Function_Matrix!I:I,A9)</x:f>
        <x:v>32</x:v>
      </x:c>
      <x:c r="D9" s="12" t="str">
        <x:v>PASS</x:v>
      </x:c>
      <x:c r="E9" s="12" t="n">
        <x:f>COUNTIF(Release_Gates!B:B,D9)</x:f>
        <x:v>2</x:v>
      </x:c>
    </x:row>
    <x:row r="10">
      <x:c r="A10" s="12" t="str">
        <x:v>Partial</x:v>
      </x:c>
      <x:c r="B10" s="12" t="n">
        <x:f>COUNTIF(SA_Function_Matrix!I:I,A10)</x:f>
        <x:v>1</x:v>
      </x:c>
      <x:c r="D10" s="12" t="str">
        <x:v>BLOCKED</x:v>
      </x:c>
      <x:c r="E10" s="12" t="n">
        <x:f>COUNTIF(Release_Gates!B:B,D10)</x:f>
        <x:v>4</x:v>
      </x:c>
    </x:row>
    <x:row r="11">
      <x:c r="A11" s="12" t="str">
        <x:v>Deferred</x:v>
      </x:c>
      <x:c r="B11" s="12" t="n">
        <x:f>COUNTIF(SA_Function_Matrix!I:I,A11)</x:f>
        <x:v>3</x:v>
      </x:c>
      <x:c r="D11" s="12" t="str">
        <x:v>NOT RUN</x:v>
      </x:c>
      <x:c r="E11" s="12" t="n">
        <x:f>COUNTIF(Release_Gates!B:B,D11)</x:f>
        <x:v>11</x:v>
      </x:c>
    </x:row>
    <x:row r="12">
      <x:c r="A12" s="12" t="str">
        <x:v>Blocked</x:v>
      </x:c>
      <x:c r="B12" s="12" t="n">
        <x:f>COUNTIF(SA_Function_Matrix!I:I,A12)</x:f>
        <x:v>0</x:v>
      </x:c>
      <x:c r="D12" s="12" t="str">
        <x:v>DEFERRED</x:v>
      </x:c>
      <x:c r="E12" s="12" t="n">
        <x:f>COUNTIF(Release_Gates!B:B,D12)</x:f>
        <x:v>3</x:v>
      </x:c>
    </x:row>
    <x:row r="13">
      <x:c r="D13" s="12" t="str">
        <x:v>FAIL</x:v>
      </x:c>
      <x:c r="E13" s="12" t="n">
        <x:f>COUNTIF(Release_Gates!B:B,D13)</x:f>
        <x:v>0</x:v>
      </x:c>
    </x:row>
    <x:row r="15">
      <x:c r="A15" s="26" t="str">
        <x:v>KPI</x:v>
      </x:c>
      <x:c r="B15" s="26" t="str">
        <x:v>Value</x:v>
      </x:c>
      <x:c r="D15" s="26" t="str">
        <x:v>Production判定</x:v>
      </x:c>
      <x:c r="E15" s="26" t="str"/>
      <x:c r="F15" s="26" t="str"/>
      <x:c r="G15" s="26" t="str"/>
      <x:c r="H15" s="26" t="str"/>
    </x:row>
    <x:row r="16">
      <x:c r="A16" t="str">
        <x:v>SA總項目</x:v>
      </x:c>
      <x:c r="B16" t="n">
        <x:f>COUNTA(SA_Function_Matrix!A:A)-1</x:f>
        <x:v>36</x:v>
      </x:c>
      <x:c r="D16" s="33" t="str">
        <x:v>Source-level RC</x:v>
      </x:c>
      <x:c r="E16" s="33" t="str">
        <x:v>READY</x:v>
      </x:c>
      <x:c r="F16" s="33" t="str"/>
      <x:c r="G16" s="33" t="str"/>
      <x:c r="H16" s="33" t="str"/>
    </x:row>
    <x:row r="17">
      <x:c r="A17" t="str">
        <x:v>已實作</x:v>
      </x:c>
      <x:c r="B17" t="n">
        <x:f>COUNTIF(SA_Function_Matrix!I:I,"Implemented")</x:f>
        <x:v>32</x:v>
      </x:c>
      <x:c r="D17" s="36" t="str">
        <x:v>Connected Build/DB</x:v>
      </x:c>
      <x:c r="E17" s="36" t="str">
        <x:v>BLOCKED</x:v>
      </x:c>
      <x:c r="F17" s="36" t="str"/>
      <x:c r="G17" s="36" t="str"/>
      <x:c r="H17" s="36" t="str"/>
    </x:row>
    <x:row r="18">
      <x:c r="A18" t="str">
        <x:v>AI Runtime Deferred</x:v>
      </x:c>
      <x:c r="B18" t="n">
        <x:f>COUNTIF(AI_Core_Alignment!F:F,"Deferred runtime")</x:f>
        <x:v>8</x:v>
      </x:c>
      <x:c r="D18" s="36" t="str">
        <x:v>Security/UAT</x:v>
      </x:c>
      <x:c r="E18" s="36" t="str">
        <x:v>BLOCKED</x:v>
      </x:c>
      <x:c r="F18" s="36" t="str"/>
      <x:c r="G18" s="36" t="str"/>
      <x:c r="H18" s="36" t="str"/>
    </x:row>
    <x:row r="19">
      <x:c r="A19" t="str">
        <x:v>Production必須Gate</x:v>
      </x:c>
      <x:c r="B19" t="n">
        <x:f>COUNTIF(Release_Gates!C:C,"Yes")</x:f>
        <x:v>17</x:v>
      </x:c>
      <x:c r="D19" s="36" t="str">
        <x:v>Core MVP可否直接Production</x:v>
      </x:c>
      <x:c r="E19" s="36" t="str">
        <x:v>NO</x:v>
      </x:c>
      <x:c r="F19" s="36" t="str"/>
      <x:c r="G19" s="36" t="str"/>
      <x:c r="H19" s="36" t="str"/>
    </x:row>
    <x:row r="20" ht="42" customHeight="1">
      <x:c r="A20" t="str">
        <x:v>目前PASS Gate</x:v>
      </x:c>
      <x:c r="B20" t="n">
        <x:f>COUNTIF(Release_Gates!B:B,"PASS")</x:f>
        <x:v>2</x:v>
      </x:c>
      <x:c r="D20" s="40" t="str">
        <x:v>條件</x:v>
      </x:c>
      <x:c r="E20" s="40" t="str">
        <x:v>完成所有R6 Release Gates後方可Promotion</x:v>
      </x:c>
      <x:c r="F20" s="40" t="str"/>
      <x:c r="G20" s="40" t="str"/>
      <x:c r="H20" s="40" t="str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f4da049bdc0b4814"/>
</x:worksheet>
</file>